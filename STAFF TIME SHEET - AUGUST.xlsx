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mobo\Documents\PORTFOLIO\Excel\"/>
    </mc:Choice>
  </mc:AlternateContent>
  <xr:revisionPtr revIDLastSave="0" documentId="8_{B1154D56-E455-4A42-A58D-9114374E5332}" xr6:coauthVersionLast="47" xr6:coauthVersionMax="47" xr10:uidLastSave="{00000000-0000-0000-0000-000000000000}"/>
  <workbookProtection workbookPassword="CEA2" lockStructure="1"/>
  <bookViews>
    <workbookView xWindow="28680" yWindow="-120" windowWidth="29040" windowHeight="15720" tabRatio="922" firstSheet="1" activeTab="1" xr2:uid="{00000000-000D-0000-FFFF-FFFF00000000}"/>
  </bookViews>
  <sheets>
    <sheet name="Sheet1" sheetId="31" state="hidden" r:id="rId1"/>
    <sheet name="Line 3" sheetId="7" r:id="rId2"/>
    <sheet name="Conf" sheetId="24" state="hidden" r:id="rId3"/>
  </sheets>
  <externalReferences>
    <externalReference r:id="rId4"/>
  </externalReferences>
  <definedNames>
    <definedName name="July_accrual">#REF!</definedName>
    <definedName name="LINE8_PH">'Line 3'!$AE$5:$AG$8</definedName>
    <definedName name="Names">#REF!</definedName>
    <definedName name="Public_Holiday" localSheetId="1">'[1]Line 11'!$X$5:$X$8</definedName>
    <definedName name="Public_Holiday">#REF!</definedName>
    <definedName name="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4" l="1"/>
  <c r="F2" i="24"/>
  <c r="E11" i="7" l="1"/>
  <c r="D13" i="7" l="1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CB48" i="7" l="1"/>
  <c r="F11" i="7"/>
  <c r="G11" i="7" s="1"/>
  <c r="CC13" i="7"/>
  <c r="CD13" i="7"/>
  <c r="CC30" i="7"/>
  <c r="CD30" i="7"/>
  <c r="CC17" i="7"/>
  <c r="CD17" i="7"/>
  <c r="CC19" i="7"/>
  <c r="CD19" i="7"/>
  <c r="CC21" i="7"/>
  <c r="CD21" i="7"/>
  <c r="CC22" i="7"/>
  <c r="CD22" i="7"/>
  <c r="CC18" i="7"/>
  <c r="CD18" i="7"/>
  <c r="CC14" i="7"/>
  <c r="CD14" i="7"/>
  <c r="CC31" i="7"/>
  <c r="CD31" i="7"/>
  <c r="CC25" i="7"/>
  <c r="CD25" i="7"/>
  <c r="CC15" i="7"/>
  <c r="CD15" i="7"/>
  <c r="CC20" i="7"/>
  <c r="CD20" i="7"/>
  <c r="CC16" i="7"/>
  <c r="CD16" i="7"/>
  <c r="CC26" i="7"/>
  <c r="CD26" i="7"/>
  <c r="CC27" i="7"/>
  <c r="CD27" i="7"/>
  <c r="CC28" i="7"/>
  <c r="CD28" i="7"/>
  <c r="CC24" i="7"/>
  <c r="CD24" i="7"/>
  <c r="CC23" i="7"/>
  <c r="CD23" i="7"/>
  <c r="CC29" i="7"/>
  <c r="CD29" i="7"/>
  <c r="CC32" i="7"/>
  <c r="CD32" i="7"/>
  <c r="CC33" i="7"/>
  <c r="CD33" i="7"/>
  <c r="CC34" i="7"/>
  <c r="CD34" i="7"/>
  <c r="CC35" i="7"/>
  <c r="CD35" i="7"/>
  <c r="CC36" i="7"/>
  <c r="CD36" i="7"/>
  <c r="CC37" i="7"/>
  <c r="CD37" i="7"/>
  <c r="CC38" i="7"/>
  <c r="CD38" i="7"/>
  <c r="CC39" i="7"/>
  <c r="CD39" i="7"/>
  <c r="CC40" i="7"/>
  <c r="CD40" i="7"/>
  <c r="CC41" i="7"/>
  <c r="CD41" i="7"/>
  <c r="CC42" i="7"/>
  <c r="CD42" i="7"/>
  <c r="CC43" i="7"/>
  <c r="CD43" i="7"/>
  <c r="CC44" i="7"/>
  <c r="CD44" i="7"/>
  <c r="BS45" i="7"/>
  <c r="BR45" i="7"/>
  <c r="BQ45" i="7"/>
  <c r="BP45" i="7"/>
  <c r="BO45" i="7"/>
  <c r="BN45" i="7"/>
  <c r="BM45" i="7"/>
  <c r="BG45" i="7"/>
  <c r="BF45" i="7"/>
  <c r="BE45" i="7"/>
  <c r="BD45" i="7"/>
  <c r="BC45" i="7"/>
  <c r="BB45" i="7"/>
  <c r="BA45" i="7"/>
  <c r="AU45" i="7"/>
  <c r="AT45" i="7"/>
  <c r="AS45" i="7"/>
  <c r="AR45" i="7"/>
  <c r="AQ45" i="7"/>
  <c r="AP45" i="7"/>
  <c r="AO45" i="7"/>
  <c r="AI45" i="7"/>
  <c r="AH45" i="7"/>
  <c r="AG45" i="7"/>
  <c r="AF45" i="7"/>
  <c r="AE45" i="7"/>
  <c r="AD45" i="7"/>
  <c r="AC45" i="7"/>
  <c r="W45" i="7"/>
  <c r="V45" i="7"/>
  <c r="U45" i="7"/>
  <c r="T45" i="7"/>
  <c r="S45" i="7"/>
  <c r="R45" i="7"/>
  <c r="Q45" i="7"/>
  <c r="K45" i="7"/>
  <c r="J45" i="7"/>
  <c r="I45" i="7"/>
  <c r="H45" i="7"/>
  <c r="G45" i="7"/>
  <c r="F45" i="7"/>
  <c r="E45" i="7"/>
  <c r="C7" i="7"/>
  <c r="E10" i="7" l="1"/>
  <c r="E12" i="7"/>
  <c r="F10" i="7"/>
  <c r="F12" i="7"/>
  <c r="G10" i="7"/>
  <c r="G12" i="7"/>
  <c r="H11" i="7"/>
  <c r="H10" i="7" s="1"/>
  <c r="H12" i="7" l="1"/>
  <c r="I11" i="7"/>
  <c r="I10" i="7" s="1"/>
  <c r="J11" i="7" l="1"/>
  <c r="I12" i="7"/>
  <c r="K11" i="7" l="1"/>
  <c r="K10" i="7" s="1"/>
  <c r="J12" i="7"/>
  <c r="J10" i="7"/>
  <c r="Q11" i="7" l="1"/>
  <c r="Q10" i="7" s="1"/>
  <c r="K12" i="7"/>
  <c r="R11" i="7" l="1"/>
  <c r="R10" i="7" s="1"/>
  <c r="Q12" i="7"/>
  <c r="R12" i="7" l="1"/>
  <c r="S11" i="7"/>
  <c r="S10" i="7" s="1"/>
  <c r="S12" i="7" l="1"/>
  <c r="T11" i="7"/>
  <c r="U11" i="7" l="1"/>
  <c r="T12" i="7"/>
  <c r="T10" i="7"/>
  <c r="U10" i="7" l="1"/>
  <c r="V11" i="7"/>
  <c r="U12" i="7"/>
  <c r="W11" i="7" l="1"/>
  <c r="W10" i="7" s="1"/>
  <c r="V12" i="7"/>
  <c r="V10" i="7"/>
  <c r="AC11" i="7" l="1"/>
  <c r="AC10" i="7" s="1"/>
  <c r="W12" i="7"/>
  <c r="AC12" i="7" l="1"/>
  <c r="AD11" i="7"/>
  <c r="AD12" i="7" l="1"/>
  <c r="AE11" i="7"/>
  <c r="AE10" i="7" s="1"/>
  <c r="AD10" i="7"/>
  <c r="AE12" i="7" l="1"/>
  <c r="AF11" i="7"/>
  <c r="AF10" i="7" s="1"/>
  <c r="AG11" i="7" l="1"/>
  <c r="AG10" i="7" s="1"/>
  <c r="AF12" i="7"/>
  <c r="AH11" i="7" l="1"/>
  <c r="AH10" i="7" s="1"/>
  <c r="AG12" i="7"/>
  <c r="AI11" i="7" l="1"/>
  <c r="AI10" i="7" s="1"/>
  <c r="AH12" i="7"/>
  <c r="AO11" i="7" l="1"/>
  <c r="AO10" i="7" s="1"/>
  <c r="AI12" i="7"/>
  <c r="AO12" i="7" l="1"/>
  <c r="AP11" i="7"/>
  <c r="AP10" i="7" s="1"/>
  <c r="AQ11" i="7" l="1"/>
  <c r="AQ10" i="7" s="1"/>
  <c r="AP12" i="7"/>
  <c r="AR11" i="7" l="1"/>
  <c r="AQ12" i="7"/>
  <c r="AS11" i="7" l="1"/>
  <c r="AS10" i="7" s="1"/>
  <c r="AR12" i="7"/>
  <c r="AR10" i="7"/>
  <c r="AT11" i="7" l="1"/>
  <c r="AT10" i="7" s="1"/>
  <c r="AS12" i="7"/>
  <c r="AT12" i="7" l="1"/>
  <c r="AU11" i="7"/>
  <c r="AU10" i="7" s="1"/>
  <c r="BA11" i="7" l="1"/>
  <c r="BA10" i="7" s="1"/>
  <c r="AU12" i="7"/>
  <c r="BA12" i="7" l="1"/>
  <c r="BB11" i="7"/>
  <c r="BC11" i="7" l="1"/>
  <c r="BB12" i="7"/>
  <c r="BD11" i="7" l="1"/>
  <c r="BC12" i="7"/>
  <c r="BE11" i="7" l="1"/>
  <c r="BD12" i="7"/>
  <c r="BE12" i="7" l="1"/>
  <c r="BF11" i="7"/>
  <c r="BG11" i="7" l="1"/>
  <c r="BF12" i="7"/>
  <c r="BU9" i="7" l="1"/>
  <c r="BI9" i="7"/>
  <c r="AW9" i="7"/>
  <c r="BZ9" i="7"/>
  <c r="AK9" i="7"/>
  <c r="Y9" i="7"/>
  <c r="M9" i="7"/>
  <c r="G9" i="7"/>
  <c r="E9" i="7"/>
  <c r="F9" i="7"/>
  <c r="H9" i="7"/>
  <c r="I9" i="7"/>
  <c r="J9" i="7"/>
  <c r="K9" i="7"/>
  <c r="Q9" i="7"/>
  <c r="R9" i="7"/>
  <c r="S9" i="7"/>
  <c r="T9" i="7"/>
  <c r="U9" i="7"/>
  <c r="V9" i="7"/>
  <c r="W9" i="7"/>
  <c r="AC9" i="7"/>
  <c r="AD9" i="7"/>
  <c r="AE9" i="7"/>
  <c r="AF9" i="7"/>
  <c r="AG9" i="7"/>
  <c r="AH9" i="7"/>
  <c r="AI9" i="7"/>
  <c r="AO9" i="7"/>
  <c r="AP9" i="7"/>
  <c r="AQ9" i="7"/>
  <c r="AR9" i="7"/>
  <c r="AS9" i="7"/>
  <c r="AT9" i="7"/>
  <c r="AU9" i="7"/>
  <c r="BA9" i="7"/>
  <c r="BB9" i="7"/>
  <c r="BC9" i="7"/>
  <c r="BD9" i="7"/>
  <c r="BE9" i="7"/>
  <c r="BF9" i="7"/>
  <c r="BM11" i="7"/>
  <c r="BG12" i="7"/>
  <c r="BG9" i="7"/>
  <c r="AK18" i="7" l="1"/>
  <c r="AK25" i="7"/>
  <c r="AK27" i="7"/>
  <c r="AK29" i="7"/>
  <c r="AK34" i="7"/>
  <c r="AK14" i="7"/>
  <c r="AK16" i="7"/>
  <c r="AK20" i="7"/>
  <c r="AK22" i="7"/>
  <c r="AK17" i="7"/>
  <c r="AK19" i="7"/>
  <c r="AK24" i="7"/>
  <c r="AK26" i="7"/>
  <c r="AK28" i="7"/>
  <c r="AK30" i="7"/>
  <c r="AK33" i="7"/>
  <c r="AK15" i="7"/>
  <c r="AK23" i="7"/>
  <c r="AK42" i="7"/>
  <c r="AK31" i="7"/>
  <c r="AK36" i="7"/>
  <c r="AK39" i="7"/>
  <c r="AK44" i="7"/>
  <c r="AK32" i="7"/>
  <c r="AK38" i="7"/>
  <c r="AK41" i="7"/>
  <c r="AK21" i="7"/>
  <c r="AK35" i="7"/>
  <c r="AK37" i="7"/>
  <c r="AK40" i="7"/>
  <c r="AK43" i="7"/>
  <c r="AK13" i="7"/>
  <c r="AX18" i="7"/>
  <c r="AX25" i="7"/>
  <c r="AX27" i="7"/>
  <c r="AX29" i="7"/>
  <c r="AZ32" i="7"/>
  <c r="AX34" i="7"/>
  <c r="AX14" i="7"/>
  <c r="AX16" i="7"/>
  <c r="AX20" i="7"/>
  <c r="AX22" i="7"/>
  <c r="AX17" i="7"/>
  <c r="AX19" i="7"/>
  <c r="AX24" i="7"/>
  <c r="AX26" i="7"/>
  <c r="AX28" i="7"/>
  <c r="AX30" i="7"/>
  <c r="AZ31" i="7"/>
  <c r="AX33" i="7"/>
  <c r="AX21" i="7"/>
  <c r="AX32" i="7"/>
  <c r="AZ37" i="7"/>
  <c r="AZ40" i="7"/>
  <c r="AX42" i="7"/>
  <c r="AX15" i="7"/>
  <c r="AX23" i="7"/>
  <c r="AX36" i="7"/>
  <c r="AX39" i="7"/>
  <c r="AZ42" i="7"/>
  <c r="AX44" i="7"/>
  <c r="AZ33" i="7"/>
  <c r="AX35" i="7"/>
  <c r="AZ36" i="7"/>
  <c r="AX38" i="7"/>
  <c r="AZ39" i="7"/>
  <c r="AX41" i="7"/>
  <c r="AX31" i="7"/>
  <c r="AZ34" i="7"/>
  <c r="AZ35" i="7"/>
  <c r="AX37" i="7"/>
  <c r="AZ38" i="7"/>
  <c r="AX40" i="7"/>
  <c r="AZ41" i="7"/>
  <c r="AX43" i="7"/>
  <c r="AZ43" i="7"/>
  <c r="AZ44" i="7"/>
  <c r="AX13" i="7"/>
  <c r="AL15" i="7"/>
  <c r="AL21" i="7"/>
  <c r="AL23" i="7"/>
  <c r="AL32" i="7"/>
  <c r="AN33" i="7"/>
  <c r="AL35" i="7"/>
  <c r="AL18" i="7"/>
  <c r="AL25" i="7"/>
  <c r="AL27" i="7"/>
  <c r="AL29" i="7"/>
  <c r="AL14" i="7"/>
  <c r="AL16" i="7"/>
  <c r="AL20" i="7"/>
  <c r="AL22" i="7"/>
  <c r="AL31" i="7"/>
  <c r="AN34" i="7"/>
  <c r="AL30" i="7"/>
  <c r="AL33" i="7"/>
  <c r="AN35" i="7"/>
  <c r="AL37" i="7"/>
  <c r="AN38" i="7"/>
  <c r="AL40" i="7"/>
  <c r="AN41" i="7"/>
  <c r="AL43" i="7"/>
  <c r="AL17" i="7"/>
  <c r="AL24" i="7"/>
  <c r="AL34" i="7"/>
  <c r="AN37" i="7"/>
  <c r="AN40" i="7"/>
  <c r="AL42" i="7"/>
  <c r="AN43" i="7"/>
  <c r="AL44" i="7"/>
  <c r="AL19" i="7"/>
  <c r="AL26" i="7"/>
  <c r="AN31" i="7"/>
  <c r="AL36" i="7"/>
  <c r="AL39" i="7"/>
  <c r="AN42" i="7"/>
  <c r="AL28" i="7"/>
  <c r="AN32" i="7"/>
  <c r="AN36" i="7"/>
  <c r="AL38" i="7"/>
  <c r="AN39" i="7"/>
  <c r="AL41" i="7"/>
  <c r="AN44" i="7"/>
  <c r="AL13" i="7"/>
  <c r="AW14" i="7"/>
  <c r="AW16" i="7"/>
  <c r="AW20" i="7"/>
  <c r="AW22" i="7"/>
  <c r="AW31" i="7"/>
  <c r="AW17" i="7"/>
  <c r="AW19" i="7"/>
  <c r="AW24" i="7"/>
  <c r="AW26" i="7"/>
  <c r="AW28" i="7"/>
  <c r="AW30" i="7"/>
  <c r="AW15" i="7"/>
  <c r="AW21" i="7"/>
  <c r="AW23" i="7"/>
  <c r="AW32" i="7"/>
  <c r="AW29" i="7"/>
  <c r="AW36" i="7"/>
  <c r="AW39" i="7"/>
  <c r="AW44" i="7"/>
  <c r="AW33" i="7"/>
  <c r="AW35" i="7"/>
  <c r="AW38" i="7"/>
  <c r="AW41" i="7"/>
  <c r="AW43" i="7"/>
  <c r="AW18" i="7"/>
  <c r="AW25" i="7"/>
  <c r="AW34" i="7"/>
  <c r="AW37" i="7"/>
  <c r="AW40" i="7"/>
  <c r="AW27" i="7"/>
  <c r="AW42" i="7"/>
  <c r="AW13" i="7"/>
  <c r="Y15" i="7"/>
  <c r="Y21" i="7"/>
  <c r="Y23" i="7"/>
  <c r="Y32" i="7"/>
  <c r="Y35" i="7"/>
  <c r="Y18" i="7"/>
  <c r="Y25" i="7"/>
  <c r="Y27" i="7"/>
  <c r="Y29" i="7"/>
  <c r="Y14" i="7"/>
  <c r="Y16" i="7"/>
  <c r="Y20" i="7"/>
  <c r="Y22" i="7"/>
  <c r="Y31" i="7"/>
  <c r="Y17" i="7"/>
  <c r="Y24" i="7"/>
  <c r="Y37" i="7"/>
  <c r="Y40" i="7"/>
  <c r="Y19" i="7"/>
  <c r="Y26" i="7"/>
  <c r="Y42" i="7"/>
  <c r="Y28" i="7"/>
  <c r="Y33" i="7"/>
  <c r="Y36" i="7"/>
  <c r="Y39" i="7"/>
  <c r="Y30" i="7"/>
  <c r="Y34" i="7"/>
  <c r="Y38" i="7"/>
  <c r="Y41" i="7"/>
  <c r="Y43" i="7"/>
  <c r="Y44" i="7"/>
  <c r="Y13" i="7"/>
  <c r="M14" i="7"/>
  <c r="M16" i="7"/>
  <c r="M19" i="7"/>
  <c r="M24" i="7"/>
  <c r="M26" i="7"/>
  <c r="M28" i="7"/>
  <c r="M30" i="7"/>
  <c r="P30" i="7" s="1"/>
  <c r="M33" i="7"/>
  <c r="M15" i="7"/>
  <c r="M17" i="7"/>
  <c r="M21" i="7"/>
  <c r="M23" i="7"/>
  <c r="M18" i="7"/>
  <c r="M25" i="7"/>
  <c r="M27" i="7"/>
  <c r="M29" i="7"/>
  <c r="M34" i="7"/>
  <c r="M38" i="7"/>
  <c r="M41" i="7"/>
  <c r="M20" i="7"/>
  <c r="M37" i="7"/>
  <c r="M40" i="7"/>
  <c r="M43" i="7"/>
  <c r="M42" i="7"/>
  <c r="M22" i="7"/>
  <c r="M31" i="7"/>
  <c r="M32" i="7"/>
  <c r="M35" i="7"/>
  <c r="M36" i="7"/>
  <c r="M39" i="7"/>
  <c r="M44" i="7"/>
  <c r="BJ14" i="7"/>
  <c r="BJ16" i="7"/>
  <c r="BL18" i="7"/>
  <c r="BJ20" i="7"/>
  <c r="BJ22" i="7"/>
  <c r="BL25" i="7"/>
  <c r="BL27" i="7"/>
  <c r="BL29" i="7"/>
  <c r="BJ31" i="7"/>
  <c r="BL34" i="7"/>
  <c r="BL14" i="7"/>
  <c r="BL16" i="7"/>
  <c r="BJ17" i="7"/>
  <c r="BJ19" i="7"/>
  <c r="BL20" i="7"/>
  <c r="BL22" i="7"/>
  <c r="BJ24" i="7"/>
  <c r="BJ26" i="7"/>
  <c r="BJ28" i="7"/>
  <c r="BJ30" i="7"/>
  <c r="BJ15" i="7"/>
  <c r="BL17" i="7"/>
  <c r="BL19" i="7"/>
  <c r="BJ21" i="7"/>
  <c r="BJ23" i="7"/>
  <c r="BL24" i="7"/>
  <c r="BL26" i="7"/>
  <c r="BL28" i="7"/>
  <c r="BL30" i="7"/>
  <c r="BJ32" i="7"/>
  <c r="BL33" i="7"/>
  <c r="BJ27" i="7"/>
  <c r="BJ34" i="7"/>
  <c r="BJ36" i="7"/>
  <c r="BJ39" i="7"/>
  <c r="BL42" i="7"/>
  <c r="BL21" i="7"/>
  <c r="BJ29" i="7"/>
  <c r="BL31" i="7"/>
  <c r="BJ35" i="7"/>
  <c r="BL36" i="7"/>
  <c r="BJ38" i="7"/>
  <c r="BL39" i="7"/>
  <c r="BJ41" i="7"/>
  <c r="BL44" i="7"/>
  <c r="BJ43" i="7"/>
  <c r="BL15" i="7"/>
  <c r="BL23" i="7"/>
  <c r="BL32" i="7"/>
  <c r="BL35" i="7"/>
  <c r="BJ37" i="7"/>
  <c r="BL38" i="7"/>
  <c r="BJ40" i="7"/>
  <c r="BL41" i="7"/>
  <c r="BJ18" i="7"/>
  <c r="BJ25" i="7"/>
  <c r="BJ33" i="7"/>
  <c r="BL37" i="7"/>
  <c r="BL40" i="7"/>
  <c r="BJ42" i="7"/>
  <c r="BL43" i="7"/>
  <c r="BJ44" i="7"/>
  <c r="BJ13" i="7"/>
  <c r="BL13" i="7"/>
  <c r="BI17" i="7"/>
  <c r="BI19" i="7"/>
  <c r="BI24" i="7"/>
  <c r="BI26" i="7"/>
  <c r="BI28" i="7"/>
  <c r="BI30" i="7"/>
  <c r="BI33" i="7"/>
  <c r="BI15" i="7"/>
  <c r="BI21" i="7"/>
  <c r="BI23" i="7"/>
  <c r="BI18" i="7"/>
  <c r="BI25" i="7"/>
  <c r="BI27" i="7"/>
  <c r="BI29" i="7"/>
  <c r="BI34" i="7"/>
  <c r="BI20" i="7"/>
  <c r="BI31" i="7"/>
  <c r="BI35" i="7"/>
  <c r="BI38" i="7"/>
  <c r="BI41" i="7"/>
  <c r="BI14" i="7"/>
  <c r="BI22" i="7"/>
  <c r="BI32" i="7"/>
  <c r="BI37" i="7"/>
  <c r="BI40" i="7"/>
  <c r="BI43" i="7"/>
  <c r="BI42" i="7"/>
  <c r="BI16" i="7"/>
  <c r="BI36" i="7"/>
  <c r="BI39" i="7"/>
  <c r="BI44" i="7"/>
  <c r="BI13" i="7"/>
  <c r="Z14" i="7"/>
  <c r="Z17" i="7"/>
  <c r="Z19" i="7"/>
  <c r="Z24" i="7"/>
  <c r="Z26" i="7"/>
  <c r="Z28" i="7"/>
  <c r="Z30" i="7"/>
  <c r="AB31" i="7"/>
  <c r="Z33" i="7"/>
  <c r="Z15" i="7"/>
  <c r="Z21" i="7"/>
  <c r="Z23" i="7"/>
  <c r="Z18" i="7"/>
  <c r="Z25" i="7"/>
  <c r="Z27" i="7"/>
  <c r="Z29" i="7"/>
  <c r="AB32" i="7"/>
  <c r="Z34" i="7"/>
  <c r="Z16" i="7"/>
  <c r="Z31" i="7"/>
  <c r="AB34" i="7"/>
  <c r="AB36" i="7"/>
  <c r="Z38" i="7"/>
  <c r="AB39" i="7"/>
  <c r="Z41" i="7"/>
  <c r="Z32" i="7"/>
  <c r="Z35" i="7"/>
  <c r="Z37" i="7"/>
  <c r="AB38" i="7"/>
  <c r="Z40" i="7"/>
  <c r="AB41" i="7"/>
  <c r="Z43" i="7"/>
  <c r="Z20" i="7"/>
  <c r="AB35" i="7"/>
  <c r="AB37" i="7"/>
  <c r="AB40" i="7"/>
  <c r="Z42" i="7"/>
  <c r="AB43" i="7"/>
  <c r="Z22" i="7"/>
  <c r="AB33" i="7"/>
  <c r="Z36" i="7"/>
  <c r="Z39" i="7"/>
  <c r="AB42" i="7"/>
  <c r="Z44" i="7"/>
  <c r="AB44" i="7"/>
  <c r="Z13" i="7"/>
  <c r="N14" i="7"/>
  <c r="N20" i="7"/>
  <c r="N22" i="7"/>
  <c r="N31" i="7"/>
  <c r="P34" i="7"/>
  <c r="N16" i="7"/>
  <c r="N19" i="7"/>
  <c r="N24" i="7"/>
  <c r="N26" i="7"/>
  <c r="N28" i="7"/>
  <c r="N30" i="7"/>
  <c r="P31" i="7"/>
  <c r="N15" i="7"/>
  <c r="N17" i="7"/>
  <c r="P19" i="7"/>
  <c r="N21" i="7"/>
  <c r="N23" i="7"/>
  <c r="P26" i="7"/>
  <c r="N32" i="7"/>
  <c r="P33" i="7"/>
  <c r="N35" i="7"/>
  <c r="N18" i="7"/>
  <c r="N25" i="7"/>
  <c r="P32" i="7"/>
  <c r="P35" i="7"/>
  <c r="N36" i="7"/>
  <c r="N39" i="7"/>
  <c r="P42" i="7"/>
  <c r="N44" i="7"/>
  <c r="N27" i="7"/>
  <c r="N33" i="7"/>
  <c r="P36" i="7"/>
  <c r="N38" i="7"/>
  <c r="P39" i="7"/>
  <c r="N41" i="7"/>
  <c r="P44" i="7"/>
  <c r="N43" i="7"/>
  <c r="P21" i="7"/>
  <c r="N29" i="7"/>
  <c r="N34" i="7"/>
  <c r="N37" i="7"/>
  <c r="P38" i="7"/>
  <c r="N40" i="7"/>
  <c r="P41" i="7"/>
  <c r="P15" i="7"/>
  <c r="P23" i="7"/>
  <c r="P37" i="7"/>
  <c r="P40" i="7"/>
  <c r="N42" i="7"/>
  <c r="P43" i="7"/>
  <c r="N13" i="7"/>
  <c r="AJ9" i="7"/>
  <c r="AN14" i="7" s="1"/>
  <c r="M13" i="7"/>
  <c r="X9" i="7"/>
  <c r="AB16" i="7" s="1"/>
  <c r="AV9" i="7"/>
  <c r="AZ16" i="7" s="1"/>
  <c r="L9" i="7"/>
  <c r="P27" i="7" s="1"/>
  <c r="BN11" i="7"/>
  <c r="BM9" i="7"/>
  <c r="BM12" i="7"/>
  <c r="BM10" i="7"/>
  <c r="BH9" i="7"/>
  <c r="P20" i="7" l="1"/>
  <c r="P29" i="7"/>
  <c r="P24" i="7"/>
  <c r="AB26" i="7"/>
  <c r="AB24" i="7"/>
  <c r="AZ13" i="7"/>
  <c r="AZ29" i="7"/>
  <c r="AZ15" i="7"/>
  <c r="AZ24" i="7"/>
  <c r="AZ22" i="7"/>
  <c r="P18" i="7"/>
  <c r="AZ19" i="7"/>
  <c r="AZ27" i="7"/>
  <c r="AZ28" i="7"/>
  <c r="AZ17" i="7"/>
  <c r="AB27" i="7"/>
  <c r="AB13" i="7"/>
  <c r="AN23" i="7"/>
  <c r="AN28" i="7"/>
  <c r="AN19" i="7"/>
  <c r="AN13" i="7"/>
  <c r="AN24" i="7"/>
  <c r="AN20" i="7"/>
  <c r="AN29" i="7"/>
  <c r="P22" i="7"/>
  <c r="P14" i="7"/>
  <c r="AB29" i="7"/>
  <c r="AB25" i="7"/>
  <c r="AB15" i="7"/>
  <c r="AZ30" i="7"/>
  <c r="AZ20" i="7"/>
  <c r="AN21" i="7"/>
  <c r="AN26" i="7"/>
  <c r="AN17" i="7"/>
  <c r="AB18" i="7"/>
  <c r="AB19" i="7"/>
  <c r="P25" i="7"/>
  <c r="P17" i="7"/>
  <c r="P28" i="7"/>
  <c r="P16" i="7"/>
  <c r="AB30" i="7"/>
  <c r="AB28" i="7"/>
  <c r="AB14" i="7"/>
  <c r="AB21" i="7"/>
  <c r="AZ25" i="7"/>
  <c r="AZ23" i="7"/>
  <c r="AN16" i="7"/>
  <c r="AN27" i="7"/>
  <c r="AN18" i="7"/>
  <c r="AB20" i="7"/>
  <c r="AB23" i="7"/>
  <c r="AB17" i="7"/>
  <c r="AB22" i="7"/>
  <c r="AZ18" i="7"/>
  <c r="AZ21" i="7"/>
  <c r="AZ26" i="7"/>
  <c r="AZ14" i="7"/>
  <c r="AN22" i="7"/>
  <c r="AN25" i="7"/>
  <c r="AN15" i="7"/>
  <c r="AN30" i="7"/>
  <c r="P13" i="7"/>
  <c r="AW45" i="7"/>
  <c r="Y45" i="7"/>
  <c r="AK45" i="7"/>
  <c r="M45" i="7"/>
  <c r="BI45" i="7"/>
  <c r="BN9" i="7"/>
  <c r="BO11" i="7"/>
  <c r="BN12" i="7"/>
  <c r="BO9" i="7" l="1"/>
  <c r="BP11" i="7"/>
  <c r="BO12" i="7"/>
  <c r="BP12" i="7" l="1"/>
  <c r="BP9" i="7"/>
  <c r="BQ11" i="7"/>
  <c r="BR11" i="7" l="1"/>
  <c r="BQ12" i="7"/>
  <c r="BQ9" i="7"/>
  <c r="BR9" i="7" l="1"/>
  <c r="BS11" i="7"/>
  <c r="BR12" i="7"/>
  <c r="BS9" i="7" l="1"/>
  <c r="BS12" i="7"/>
  <c r="BU42" i="7" l="1"/>
  <c r="CA42" i="7" s="1"/>
  <c r="BU30" i="7"/>
  <c r="CA30" i="7" s="1"/>
  <c r="BU35" i="7"/>
  <c r="CA35" i="7" s="1"/>
  <c r="BU38" i="7"/>
  <c r="CA38" i="7" s="1"/>
  <c r="BU41" i="7"/>
  <c r="CA41" i="7" s="1"/>
  <c r="BU15" i="7"/>
  <c r="CA15" i="7" s="1"/>
  <c r="BU21" i="7"/>
  <c r="CA21" i="7" s="1"/>
  <c r="BU23" i="7"/>
  <c r="CA23" i="7" s="1"/>
  <c r="BU26" i="7"/>
  <c r="CA26" i="7" s="1"/>
  <c r="BU22" i="7"/>
  <c r="CA22" i="7" s="1"/>
  <c r="BU28" i="7"/>
  <c r="CA28" i="7" s="1"/>
  <c r="BU34" i="7"/>
  <c r="CA34" i="7" s="1"/>
  <c r="BU20" i="7"/>
  <c r="CA20" i="7" s="1"/>
  <c r="BU29" i="7"/>
  <c r="CA29" i="7" s="1"/>
  <c r="BU14" i="7"/>
  <c r="CA14" i="7" s="1"/>
  <c r="BU16" i="7"/>
  <c r="CA16" i="7" s="1"/>
  <c r="BU27" i="7"/>
  <c r="CA27" i="7" s="1"/>
  <c r="BU32" i="7"/>
  <c r="CA32" i="7" s="1"/>
  <c r="BU31" i="7"/>
  <c r="CA31" i="7" s="1"/>
  <c r="BU19" i="7"/>
  <c r="CA19" i="7" s="1"/>
  <c r="BU43" i="7"/>
  <c r="CA43" i="7" s="1"/>
  <c r="BU33" i="7"/>
  <c r="CA33" i="7" s="1"/>
  <c r="BU37" i="7"/>
  <c r="CA37" i="7" s="1"/>
  <c r="BU40" i="7"/>
  <c r="CA40" i="7" s="1"/>
  <c r="BU13" i="7"/>
  <c r="BU18" i="7"/>
  <c r="CA18" i="7" s="1"/>
  <c r="BU25" i="7"/>
  <c r="CA25" i="7" s="1"/>
  <c r="BU24" i="7"/>
  <c r="CA24" i="7" s="1"/>
  <c r="BU36" i="7"/>
  <c r="CA36" i="7" s="1"/>
  <c r="BU39" i="7"/>
  <c r="CA39" i="7" s="1"/>
  <c r="BU17" i="7"/>
  <c r="CA17" i="7" s="1"/>
  <c r="BU44" i="7"/>
  <c r="CA44" i="7" s="1"/>
  <c r="BX19" i="7"/>
  <c r="BX26" i="7"/>
  <c r="BV18" i="7"/>
  <c r="BY18" i="7" s="1"/>
  <c r="BX35" i="7"/>
  <c r="BV34" i="7"/>
  <c r="BY34" i="7" s="1"/>
  <c r="BX36" i="7"/>
  <c r="BX44" i="7"/>
  <c r="BV32" i="7"/>
  <c r="BY32" i="7" s="1"/>
  <c r="BX41" i="7"/>
  <c r="BV22" i="7"/>
  <c r="BY22" i="7" s="1"/>
  <c r="BX37" i="7"/>
  <c r="BX31" i="7"/>
  <c r="BV44" i="7"/>
  <c r="BY44" i="7" s="1"/>
  <c r="BX16" i="7"/>
  <c r="BX22" i="7"/>
  <c r="BV27" i="7"/>
  <c r="BY27" i="7" s="1"/>
  <c r="BV43" i="7"/>
  <c r="BY43" i="7" s="1"/>
  <c r="BX29" i="7"/>
  <c r="BX40" i="7"/>
  <c r="BV33" i="7"/>
  <c r="BY33" i="7" s="1"/>
  <c r="BV13" i="7"/>
  <c r="BY13" i="7" s="1"/>
  <c r="BV17" i="7"/>
  <c r="BY17" i="7" s="1"/>
  <c r="BV24" i="7"/>
  <c r="BY24" i="7" s="1"/>
  <c r="BV29" i="7"/>
  <c r="BY29" i="7" s="1"/>
  <c r="BV21" i="7"/>
  <c r="BY21" i="7" s="1"/>
  <c r="BX28" i="7"/>
  <c r="BX21" i="7"/>
  <c r="BV37" i="7"/>
  <c r="BY37" i="7" s="1"/>
  <c r="BX18" i="7"/>
  <c r="BV38" i="7"/>
  <c r="BY38" i="7" s="1"/>
  <c r="BV20" i="7"/>
  <c r="BY20" i="7" s="1"/>
  <c r="BV36" i="7"/>
  <c r="BY36" i="7" s="1"/>
  <c r="BV23" i="7"/>
  <c r="BY23" i="7" s="1"/>
  <c r="BV30" i="7"/>
  <c r="BY30" i="7" s="1"/>
  <c r="BX23" i="7"/>
  <c r="BX38" i="7"/>
  <c r="BX25" i="7"/>
  <c r="BX39" i="7"/>
  <c r="BX27" i="7"/>
  <c r="BV39" i="7"/>
  <c r="BY39" i="7" s="1"/>
  <c r="BV42" i="7"/>
  <c r="BY42" i="7" s="1"/>
  <c r="BV31" i="7"/>
  <c r="BY31" i="7" s="1"/>
  <c r="BX43" i="7"/>
  <c r="BV15" i="7"/>
  <c r="BY15" i="7" s="1"/>
  <c r="BX13" i="7"/>
  <c r="BW13" i="7" s="1"/>
  <c r="BT13" i="7" s="1"/>
  <c r="BV19" i="7"/>
  <c r="BY19" i="7" s="1"/>
  <c r="BV26" i="7"/>
  <c r="BY26" i="7" s="1"/>
  <c r="BX30" i="7"/>
  <c r="BV14" i="7"/>
  <c r="BY14" i="7" s="1"/>
  <c r="BX34" i="7"/>
  <c r="BV28" i="7"/>
  <c r="BY28" i="7" s="1"/>
  <c r="BX42" i="7"/>
  <c r="BX14" i="7"/>
  <c r="BX20" i="7"/>
  <c r="BV25" i="7"/>
  <c r="BY25" i="7" s="1"/>
  <c r="BX17" i="7"/>
  <c r="BW17" i="7" s="1"/>
  <c r="BT17" i="7" s="1"/>
  <c r="BX24" i="7"/>
  <c r="BX15" i="7"/>
  <c r="BX33" i="7"/>
  <c r="BX32" i="7"/>
  <c r="BW32" i="7" s="1"/>
  <c r="BT32" i="7" s="1"/>
  <c r="BV35" i="7"/>
  <c r="BY35" i="7" s="1"/>
  <c r="BV41" i="7"/>
  <c r="BY41" i="7" s="1"/>
  <c r="BV16" i="7"/>
  <c r="BY16" i="7" s="1"/>
  <c r="BV40" i="7"/>
  <c r="BY40" i="7" s="1"/>
  <c r="BT9" i="7"/>
  <c r="BW30" i="7" l="1"/>
  <c r="BT30" i="7" s="1"/>
  <c r="BW38" i="7"/>
  <c r="BT38" i="7" s="1"/>
  <c r="BW24" i="7"/>
  <c r="BT24" i="7" s="1"/>
  <c r="BW18" i="7"/>
  <c r="BT18" i="7" s="1"/>
  <c r="BW22" i="7"/>
  <c r="BT22" i="7" s="1"/>
  <c r="BW42" i="7"/>
  <c r="BT42" i="7" s="1"/>
  <c r="BW31" i="7"/>
  <c r="BT31" i="7" s="1"/>
  <c r="BW14" i="7"/>
  <c r="BT14" i="7" s="1"/>
  <c r="BW25" i="7"/>
  <c r="BT25" i="7" s="1"/>
  <c r="BW41" i="7"/>
  <c r="BT41" i="7" s="1"/>
  <c r="BW19" i="7"/>
  <c r="BT19" i="7" s="1"/>
  <c r="O40" i="7"/>
  <c r="L40" i="7" s="1"/>
  <c r="AY40" i="7"/>
  <c r="AV40" i="7" s="1"/>
  <c r="BK40" i="7"/>
  <c r="BH40" i="7" s="1"/>
  <c r="AM40" i="7"/>
  <c r="AJ40" i="7" s="1"/>
  <c r="AA40" i="7"/>
  <c r="X40" i="7" s="1"/>
  <c r="AY39" i="7"/>
  <c r="AV39" i="7" s="1"/>
  <c r="O39" i="7"/>
  <c r="L39" i="7" s="1"/>
  <c r="BK39" i="7"/>
  <c r="BH39" i="7" s="1"/>
  <c r="AM39" i="7"/>
  <c r="AJ39" i="7" s="1"/>
  <c r="AA39" i="7"/>
  <c r="X39" i="7" s="1"/>
  <c r="O36" i="7"/>
  <c r="L36" i="7" s="1"/>
  <c r="BK36" i="7"/>
  <c r="BH36" i="7" s="1"/>
  <c r="AA36" i="7"/>
  <c r="X36" i="7" s="1"/>
  <c r="AY36" i="7"/>
  <c r="AV36" i="7" s="1"/>
  <c r="AM36" i="7"/>
  <c r="AJ36" i="7" s="1"/>
  <c r="AY33" i="7"/>
  <c r="AV33" i="7" s="1"/>
  <c r="AM33" i="7"/>
  <c r="AJ33" i="7" s="1"/>
  <c r="BK33" i="7"/>
  <c r="BH33" i="7" s="1"/>
  <c r="O33" i="7"/>
  <c r="L33" i="7" s="1"/>
  <c r="AA33" i="7"/>
  <c r="X33" i="7" s="1"/>
  <c r="BK27" i="7"/>
  <c r="BH27" i="7" s="1"/>
  <c r="O27" i="7"/>
  <c r="L27" i="7" s="1"/>
  <c r="AY27" i="7"/>
  <c r="AV27" i="7" s="1"/>
  <c r="AA27" i="7"/>
  <c r="X27" i="7" s="1"/>
  <c r="AM27" i="7"/>
  <c r="AJ27" i="7" s="1"/>
  <c r="BK32" i="7"/>
  <c r="BH32" i="7" s="1"/>
  <c r="AM32" i="7"/>
  <c r="AJ32" i="7" s="1"/>
  <c r="AY32" i="7"/>
  <c r="AV32" i="7" s="1"/>
  <c r="O32" i="7"/>
  <c r="L32" i="7" s="1"/>
  <c r="AA32" i="7"/>
  <c r="X32" i="7" s="1"/>
  <c r="BW35" i="7"/>
  <c r="BT35" i="7" s="1"/>
  <c r="AY15" i="7"/>
  <c r="AV15" i="7" s="1"/>
  <c r="AA15" i="7"/>
  <c r="X15" i="7" s="1"/>
  <c r="O15" i="7"/>
  <c r="L15" i="7" s="1"/>
  <c r="AM15" i="7"/>
  <c r="AJ15" i="7" s="1"/>
  <c r="BK15" i="7"/>
  <c r="BH15" i="7" s="1"/>
  <c r="AA37" i="7"/>
  <c r="X37" i="7" s="1"/>
  <c r="AM37" i="7"/>
  <c r="AJ37" i="7" s="1"/>
  <c r="BK37" i="7"/>
  <c r="BH37" i="7" s="1"/>
  <c r="O37" i="7"/>
  <c r="L37" i="7" s="1"/>
  <c r="AY37" i="7"/>
  <c r="AV37" i="7" s="1"/>
  <c r="AY16" i="7"/>
  <c r="AV16" i="7" s="1"/>
  <c r="AA16" i="7"/>
  <c r="X16" i="7" s="1"/>
  <c r="BK16" i="7"/>
  <c r="BH16" i="7" s="1"/>
  <c r="O16" i="7"/>
  <c r="L16" i="7" s="1"/>
  <c r="AM16" i="7"/>
  <c r="AJ16" i="7" s="1"/>
  <c r="BW33" i="7"/>
  <c r="BT33" i="7" s="1"/>
  <c r="O25" i="7"/>
  <c r="L25" i="7" s="1"/>
  <c r="AM25" i="7"/>
  <c r="AJ25" i="7" s="1"/>
  <c r="BK25" i="7"/>
  <c r="BH25" i="7" s="1"/>
  <c r="AA25" i="7"/>
  <c r="X25" i="7" s="1"/>
  <c r="AY25" i="7"/>
  <c r="AV25" i="7" s="1"/>
  <c r="AM28" i="7"/>
  <c r="AJ28" i="7" s="1"/>
  <c r="AY28" i="7"/>
  <c r="AV28" i="7" s="1"/>
  <c r="AA28" i="7"/>
  <c r="X28" i="7" s="1"/>
  <c r="O28" i="7"/>
  <c r="L28" i="7" s="1"/>
  <c r="BK28" i="7"/>
  <c r="BH28" i="7" s="1"/>
  <c r="BK26" i="7"/>
  <c r="BH26" i="7" s="1"/>
  <c r="O26" i="7"/>
  <c r="L26" i="7" s="1"/>
  <c r="AA26" i="7"/>
  <c r="X26" i="7" s="1"/>
  <c r="AY26" i="7"/>
  <c r="AV26" i="7" s="1"/>
  <c r="AM26" i="7"/>
  <c r="AJ26" i="7" s="1"/>
  <c r="BW43" i="7"/>
  <c r="BT43" i="7" s="1"/>
  <c r="BW27" i="7"/>
  <c r="BT27" i="7" s="1"/>
  <c r="BW23" i="7"/>
  <c r="BT23" i="7" s="1"/>
  <c r="AY20" i="7"/>
  <c r="AV20" i="7" s="1"/>
  <c r="AM20" i="7"/>
  <c r="AJ20" i="7" s="1"/>
  <c r="BK20" i="7"/>
  <c r="BH20" i="7" s="1"/>
  <c r="AA20" i="7"/>
  <c r="X20" i="7" s="1"/>
  <c r="O20" i="7"/>
  <c r="L20" i="7" s="1"/>
  <c r="BW21" i="7"/>
  <c r="BT21" i="7" s="1"/>
  <c r="AY24" i="7"/>
  <c r="AV24" i="7" s="1"/>
  <c r="AA24" i="7"/>
  <c r="X24" i="7" s="1"/>
  <c r="BK24" i="7"/>
  <c r="BH24" i="7" s="1"/>
  <c r="AM24" i="7"/>
  <c r="AJ24" i="7" s="1"/>
  <c r="O24" i="7"/>
  <c r="L24" i="7" s="1"/>
  <c r="BW40" i="7"/>
  <c r="BT40" i="7" s="1"/>
  <c r="BW37" i="7"/>
  <c r="BT37" i="7" s="1"/>
  <c r="BW44" i="7"/>
  <c r="BT44" i="7" s="1"/>
  <c r="AY18" i="7"/>
  <c r="AV18" i="7" s="1"/>
  <c r="BK18" i="7"/>
  <c r="BH18" i="7" s="1"/>
  <c r="O18" i="7"/>
  <c r="L18" i="7" s="1"/>
  <c r="AA18" i="7"/>
  <c r="X18" i="7" s="1"/>
  <c r="AM18" i="7"/>
  <c r="AJ18" i="7" s="1"/>
  <c r="AM29" i="7"/>
  <c r="AJ29" i="7" s="1"/>
  <c r="BK29" i="7"/>
  <c r="BH29" i="7" s="1"/>
  <c r="AA29" i="7"/>
  <c r="X29" i="7" s="1"/>
  <c r="O29" i="7"/>
  <c r="L29" i="7" s="1"/>
  <c r="AY29" i="7"/>
  <c r="AV29" i="7" s="1"/>
  <c r="AY41" i="7"/>
  <c r="AV41" i="7" s="1"/>
  <c r="AA41" i="7"/>
  <c r="X41" i="7" s="1"/>
  <c r="O41" i="7"/>
  <c r="L41" i="7" s="1"/>
  <c r="AM41" i="7"/>
  <c r="AJ41" i="7" s="1"/>
  <c r="BK41" i="7"/>
  <c r="BH41" i="7" s="1"/>
  <c r="BW15" i="7"/>
  <c r="BT15" i="7" s="1"/>
  <c r="BW20" i="7"/>
  <c r="BT20" i="7" s="1"/>
  <c r="BW34" i="7"/>
  <c r="BT34" i="7" s="1"/>
  <c r="O19" i="7"/>
  <c r="L19" i="7" s="1"/>
  <c r="AM19" i="7"/>
  <c r="AJ19" i="7" s="1"/>
  <c r="BK19" i="7"/>
  <c r="BH19" i="7" s="1"/>
  <c r="AY19" i="7"/>
  <c r="AV19" i="7" s="1"/>
  <c r="AA19" i="7"/>
  <c r="X19" i="7" s="1"/>
  <c r="AY31" i="7"/>
  <c r="AV31" i="7" s="1"/>
  <c r="O31" i="7"/>
  <c r="L31" i="7" s="1"/>
  <c r="AA31" i="7"/>
  <c r="X31" i="7" s="1"/>
  <c r="BK31" i="7"/>
  <c r="BH31" i="7" s="1"/>
  <c r="AM31" i="7"/>
  <c r="AJ31" i="7" s="1"/>
  <c r="BW39" i="7"/>
  <c r="BT39" i="7" s="1"/>
  <c r="AA30" i="7"/>
  <c r="X30" i="7" s="1"/>
  <c r="O30" i="7"/>
  <c r="L30" i="7" s="1"/>
  <c r="AM30" i="7"/>
  <c r="AJ30" i="7" s="1"/>
  <c r="BK30" i="7"/>
  <c r="BH30" i="7" s="1"/>
  <c r="AY30" i="7"/>
  <c r="AV30" i="7" s="1"/>
  <c r="AA38" i="7"/>
  <c r="X38" i="7" s="1"/>
  <c r="O38" i="7"/>
  <c r="L38" i="7" s="1"/>
  <c r="BK38" i="7"/>
  <c r="BH38" i="7" s="1"/>
  <c r="AM38" i="7"/>
  <c r="AJ38" i="7" s="1"/>
  <c r="AY38" i="7"/>
  <c r="AV38" i="7" s="1"/>
  <c r="BW28" i="7"/>
  <c r="BT28" i="7" s="1"/>
  <c r="O17" i="7"/>
  <c r="L17" i="7" s="1"/>
  <c r="AY17" i="7"/>
  <c r="AV17" i="7" s="1"/>
  <c r="AM17" i="7"/>
  <c r="AJ17" i="7" s="1"/>
  <c r="AA17" i="7"/>
  <c r="X17" i="7" s="1"/>
  <c r="BK17" i="7"/>
  <c r="BH17" i="7" s="1"/>
  <c r="BW29" i="7"/>
  <c r="BT29" i="7" s="1"/>
  <c r="BW16" i="7"/>
  <c r="BT16" i="7" s="1"/>
  <c r="AY22" i="7"/>
  <c r="AV22" i="7" s="1"/>
  <c r="AM22" i="7"/>
  <c r="AJ22" i="7" s="1"/>
  <c r="O22" i="7"/>
  <c r="L22" i="7" s="1"/>
  <c r="AA22" i="7"/>
  <c r="X22" i="7" s="1"/>
  <c r="BK22" i="7"/>
  <c r="BH22" i="7" s="1"/>
  <c r="BW36" i="7"/>
  <c r="BT36" i="7" s="1"/>
  <c r="BW26" i="7"/>
  <c r="BT26" i="7" s="1"/>
  <c r="O35" i="7"/>
  <c r="L35" i="7" s="1"/>
  <c r="AA35" i="7"/>
  <c r="X35" i="7" s="1"/>
  <c r="BK35" i="7"/>
  <c r="BH35" i="7" s="1"/>
  <c r="AY35" i="7"/>
  <c r="AV35" i="7" s="1"/>
  <c r="AM35" i="7"/>
  <c r="AJ35" i="7" s="1"/>
  <c r="AY14" i="7"/>
  <c r="AV14" i="7" s="1"/>
  <c r="AM14" i="7"/>
  <c r="AJ14" i="7" s="1"/>
  <c r="BK14" i="7"/>
  <c r="BH14" i="7" s="1"/>
  <c r="AA14" i="7"/>
  <c r="X14" i="7" s="1"/>
  <c r="O14" i="7"/>
  <c r="L14" i="7" s="1"/>
  <c r="AM42" i="7"/>
  <c r="AJ42" i="7" s="1"/>
  <c r="O42" i="7"/>
  <c r="L42" i="7" s="1"/>
  <c r="AA42" i="7"/>
  <c r="X42" i="7" s="1"/>
  <c r="BK42" i="7"/>
  <c r="BH42" i="7" s="1"/>
  <c r="AY42" i="7"/>
  <c r="AV42" i="7" s="1"/>
  <c r="AM23" i="7"/>
  <c r="AJ23" i="7" s="1"/>
  <c r="AA23" i="7"/>
  <c r="X23" i="7" s="1"/>
  <c r="O23" i="7"/>
  <c r="L23" i="7" s="1"/>
  <c r="AY23" i="7"/>
  <c r="AV23" i="7" s="1"/>
  <c r="BK23" i="7"/>
  <c r="BH23" i="7" s="1"/>
  <c r="BK21" i="7"/>
  <c r="BH21" i="7" s="1"/>
  <c r="AA21" i="7"/>
  <c r="X21" i="7" s="1"/>
  <c r="AM21" i="7"/>
  <c r="AJ21" i="7" s="1"/>
  <c r="O21" i="7"/>
  <c r="L21" i="7" s="1"/>
  <c r="AY21" i="7"/>
  <c r="AV21" i="7" s="1"/>
  <c r="BK13" i="7"/>
  <c r="BH13" i="7" s="1"/>
  <c r="AM13" i="7"/>
  <c r="AJ13" i="7" s="1"/>
  <c r="AA13" i="7"/>
  <c r="X13" i="7" s="1"/>
  <c r="AY13" i="7"/>
  <c r="AV13" i="7" s="1"/>
  <c r="O13" i="7"/>
  <c r="L13" i="7" s="1"/>
  <c r="AY43" i="7"/>
  <c r="AV43" i="7" s="1"/>
  <c r="O43" i="7"/>
  <c r="L43" i="7" s="1"/>
  <c r="AA43" i="7"/>
  <c r="X43" i="7" s="1"/>
  <c r="BK43" i="7"/>
  <c r="BH43" i="7" s="1"/>
  <c r="AM43" i="7"/>
  <c r="AJ43" i="7" s="1"/>
  <c r="AA44" i="7"/>
  <c r="X44" i="7" s="1"/>
  <c r="BK44" i="7"/>
  <c r="BH44" i="7" s="1"/>
  <c r="AY44" i="7"/>
  <c r="AV44" i="7" s="1"/>
  <c r="AM44" i="7"/>
  <c r="AJ44" i="7" s="1"/>
  <c r="O44" i="7"/>
  <c r="L44" i="7" s="1"/>
  <c r="BK34" i="7"/>
  <c r="BH34" i="7" s="1"/>
  <c r="AA34" i="7"/>
  <c r="X34" i="7" s="1"/>
  <c r="AY34" i="7"/>
  <c r="AV34" i="7" s="1"/>
  <c r="O34" i="7"/>
  <c r="L34" i="7" s="1"/>
  <c r="AM34" i="7"/>
  <c r="AJ34" i="7" s="1"/>
  <c r="BU45" i="7"/>
  <c r="CA13" i="7"/>
  <c r="BZ34" i="7" l="1"/>
  <c r="CB34" i="7" s="1"/>
  <c r="BZ23" i="7"/>
  <c r="CB23" i="7" s="1"/>
  <c r="BZ25" i="7"/>
  <c r="CB25" i="7" s="1"/>
  <c r="BZ32" i="7"/>
  <c r="CB32" i="7" s="1"/>
  <c r="BZ15" i="7"/>
  <c r="CB15" i="7" s="1"/>
  <c r="BZ18" i="7"/>
  <c r="CB18" i="7" s="1"/>
  <c r="BZ24" i="7"/>
  <c r="CB24" i="7" s="1"/>
  <c r="BZ33" i="7"/>
  <c r="CB33" i="7" s="1"/>
  <c r="BZ44" i="7"/>
  <c r="CB44" i="7" s="1"/>
  <c r="BZ13" i="7"/>
  <c r="BZ22" i="7"/>
  <c r="CB22" i="7" s="1"/>
  <c r="BZ31" i="7"/>
  <c r="CB31" i="7" s="1"/>
  <c r="BZ37" i="7"/>
  <c r="CB37" i="7" s="1"/>
  <c r="BZ27" i="7"/>
  <c r="CB27" i="7" s="1"/>
  <c r="BZ36" i="7"/>
  <c r="CB36" i="7" s="1"/>
  <c r="BZ21" i="7"/>
  <c r="CB21" i="7" s="1"/>
  <c r="BZ42" i="7"/>
  <c r="CB42" i="7" s="1"/>
  <c r="BZ17" i="7"/>
  <c r="CB17" i="7" s="1"/>
  <c r="BZ38" i="7"/>
  <c r="CB38" i="7" s="1"/>
  <c r="BZ41" i="7"/>
  <c r="CB41" i="7" s="1"/>
  <c r="BZ20" i="7"/>
  <c r="CB20" i="7" s="1"/>
  <c r="BZ28" i="7"/>
  <c r="CB28" i="7" s="1"/>
  <c r="BZ16" i="7"/>
  <c r="CB16" i="7" s="1"/>
  <c r="BZ39" i="7"/>
  <c r="CB39" i="7" s="1"/>
  <c r="BZ40" i="7"/>
  <c r="CB40" i="7" s="1"/>
  <c r="BZ43" i="7"/>
  <c r="CB43" i="7" s="1"/>
  <c r="BZ14" i="7"/>
  <c r="CB14" i="7" s="1"/>
  <c r="BZ35" i="7"/>
  <c r="CB35" i="7" s="1"/>
  <c r="BZ30" i="7"/>
  <c r="CB30" i="7" s="1"/>
  <c r="BZ19" i="7"/>
  <c r="CB19" i="7" s="1"/>
  <c r="BZ29" i="7"/>
  <c r="CB29" i="7" s="1"/>
  <c r="BZ26" i="7"/>
  <c r="CB26" i="7" s="1"/>
  <c r="CA45" i="7"/>
  <c r="AJ45" i="7" l="1"/>
  <c r="BT45" i="7" l="1"/>
  <c r="L45" i="7"/>
  <c r="BH45" i="7"/>
  <c r="X45" i="7"/>
  <c r="AV45" i="7" l="1"/>
  <c r="CB13" i="7" l="1"/>
  <c r="CB45" i="7" s="1"/>
  <c r="BZ45" i="7"/>
  <c r="AO8" i="7" l="1"/>
</calcChain>
</file>

<file path=xl/sharedStrings.xml><?xml version="1.0" encoding="utf-8"?>
<sst xmlns="http://schemas.openxmlformats.org/spreadsheetml/2006/main" count="1661" uniqueCount="370">
  <si>
    <t xml:space="preserve">Employee Name </t>
  </si>
  <si>
    <t>Position</t>
  </si>
  <si>
    <t>ID</t>
  </si>
  <si>
    <t>BELLO KEHINDE HASSAN</t>
  </si>
  <si>
    <t>OGUNBIYI MUYIWA DARE</t>
  </si>
  <si>
    <t>OGUNOLA WAHEED AKANDE</t>
  </si>
  <si>
    <t>ADEGBOYE IDOWU</t>
  </si>
  <si>
    <t>OSHOBA HAKEEM</t>
  </si>
  <si>
    <t>AKINTUNDE LUKMAN</t>
  </si>
  <si>
    <t>AGBAYEMI TUNDE</t>
  </si>
  <si>
    <t>UTILITY</t>
  </si>
  <si>
    <t>ADELEYE, OLUSEGUN OPEYEMI</t>
  </si>
  <si>
    <t>ADEYANJU, EMMANUEL OLUWAGBENGA</t>
  </si>
  <si>
    <t>ANYATONWU NONSO</t>
  </si>
  <si>
    <t>ISAIAH, GBENGA  OLUKAYODE</t>
  </si>
  <si>
    <t>JEMISEYE, ADESANYA</t>
  </si>
  <si>
    <t>OGUNKOYA, SAMUEL GBENGA</t>
  </si>
  <si>
    <t>OWIE, VICTOR</t>
  </si>
  <si>
    <t>ARDO, HANNATU</t>
  </si>
  <si>
    <t>CO2 TECH</t>
  </si>
  <si>
    <t>UMUNNA, PASCHAL ANYAOCHUKWU</t>
  </si>
  <si>
    <t>OLAGUNJU, AMIDU</t>
  </si>
  <si>
    <t>WATER TECH</t>
  </si>
  <si>
    <t>POPOOLA, OLUWOLE OLUSOLA</t>
  </si>
  <si>
    <t>STEPHEN, DANIEL</t>
  </si>
  <si>
    <t>UDOH, FRIDAY ADAM</t>
  </si>
  <si>
    <t>AKANDE, OLUFEMI ADEMOLA</t>
  </si>
  <si>
    <t>AKINYEMI, OZIEGBE VINCENT</t>
  </si>
  <si>
    <t>OKEZUE, CHIGOZIE</t>
  </si>
  <si>
    <t>BEN, JOSEPH UDO</t>
  </si>
  <si>
    <t>OBEBEDUO, UFUOMA BENJAMIN</t>
  </si>
  <si>
    <t>DAVID, SIMON OTOGO</t>
  </si>
  <si>
    <t>EGBEAMA, ALEX CHUKWUDI</t>
  </si>
  <si>
    <t>NOJEEM, AKEEM</t>
  </si>
  <si>
    <t>OLALEKAN, JAMIU JIMOH</t>
  </si>
  <si>
    <t>AYANLADE SUNDAY GABRIEL</t>
  </si>
  <si>
    <t>TIWALADE KEHINDE</t>
  </si>
  <si>
    <t>AGBOOLA, BABATUNDE GABRIEL</t>
  </si>
  <si>
    <t>IBINAYE AMOS</t>
  </si>
  <si>
    <t>FAPE, KEHINDE JOHN</t>
  </si>
  <si>
    <t>KOLAWOLE GBENGA</t>
  </si>
  <si>
    <t>SUBAIR ABDULAZEEZ</t>
  </si>
  <si>
    <t>ONABANJO OYEWOLE</t>
  </si>
  <si>
    <t>OGUNTOLU YINKA FOLORUNSO</t>
  </si>
  <si>
    <t>OSIYEMI, SUNDAY ADEBAYO</t>
  </si>
  <si>
    <t>RUTH THOMAS</t>
  </si>
  <si>
    <t>ADESANYA, TAIWO</t>
  </si>
  <si>
    <t>OLAGUNJU ZAINAB</t>
  </si>
  <si>
    <t xml:space="preserve">MICRO TECH </t>
  </si>
  <si>
    <t>OMOWAIYE FUNMILAYO</t>
  </si>
  <si>
    <t xml:space="preserve">AKINGBOLA SHOBOWALE ABIMBOLA </t>
  </si>
  <si>
    <t>OKORIE IFEANYICHUKWU</t>
  </si>
  <si>
    <t>UJAH VICTOR</t>
  </si>
  <si>
    <t>AREMU OMOTOLA</t>
  </si>
  <si>
    <t>BAMIDELE DARAMOLA</t>
  </si>
  <si>
    <t>OT</t>
  </si>
  <si>
    <t>PH</t>
  </si>
  <si>
    <t>Monthly Timesheet</t>
  </si>
  <si>
    <t>Nigerian Bottling Company</t>
  </si>
  <si>
    <t>Monthly Timesheet Template</t>
  </si>
  <si>
    <t>© 2016 Vertex42 LLC</t>
  </si>
  <si>
    <t>Function</t>
  </si>
  <si>
    <t>[Manufacturing]</t>
  </si>
  <si>
    <t>Holiday</t>
  </si>
  <si>
    <t>H</t>
  </si>
  <si>
    <t>Department</t>
  </si>
  <si>
    <t>[Production]</t>
  </si>
  <si>
    <t>Vacation</t>
  </si>
  <si>
    <t>V</t>
  </si>
  <si>
    <t>Overtime</t>
  </si>
  <si>
    <t>Examination Leave</t>
  </si>
  <si>
    <t>EL</t>
  </si>
  <si>
    <t>Public Holidays</t>
  </si>
  <si>
    <t>Location</t>
  </si>
  <si>
    <t>[Lagos]</t>
  </si>
  <si>
    <t>Sick Leave</t>
  </si>
  <si>
    <t>SL</t>
  </si>
  <si>
    <t>Casual leave</t>
  </si>
  <si>
    <t>CAL</t>
  </si>
  <si>
    <t>Start Week Containing</t>
  </si>
  <si>
    <t>Maternity Leave</t>
  </si>
  <si>
    <t>ML</t>
  </si>
  <si>
    <t>Absentism</t>
  </si>
  <si>
    <t>AB</t>
  </si>
  <si>
    <t>Off Duty</t>
  </si>
  <si>
    <t>O</t>
  </si>
  <si>
    <t>Friday</t>
  </si>
  <si>
    <t>Business Trip</t>
  </si>
  <si>
    <t>Compensation leave</t>
  </si>
  <si>
    <t>CL</t>
  </si>
  <si>
    <t>Total Week in the Month</t>
  </si>
  <si>
    <t>Total
OT Hrs</t>
  </si>
  <si>
    <t>Total
PH Hrs</t>
  </si>
  <si>
    <t>Total Hours:</t>
  </si>
  <si>
    <t>Employee Signature</t>
  </si>
  <si>
    <t>Date</t>
  </si>
  <si>
    <t>Supervisor Signature</t>
  </si>
  <si>
    <t>Supervisor Name: [Name]</t>
  </si>
  <si>
    <t>OLADEJI OLANREWAJU</t>
  </si>
  <si>
    <t>Sa</t>
  </si>
  <si>
    <t>Su</t>
  </si>
  <si>
    <t>v</t>
  </si>
  <si>
    <t>M</t>
  </si>
  <si>
    <t>Tu</t>
  </si>
  <si>
    <t>W</t>
  </si>
  <si>
    <t>Th</t>
  </si>
  <si>
    <t>F</t>
  </si>
  <si>
    <t>OSENI HABBEEB</t>
  </si>
  <si>
    <t>NWOSU NNAMDI SIMON</t>
  </si>
  <si>
    <t>BABATUNDE OLUWAMAYOWA</t>
  </si>
  <si>
    <t>ABOKEDE OLUWAFEMI</t>
  </si>
  <si>
    <t>ODEGA JERRY</t>
  </si>
  <si>
    <t>NTEKIM EMMANUEL</t>
  </si>
  <si>
    <t>OGUNLEYE IFEDAPO</t>
  </si>
  <si>
    <t>DUROWADE NAJEEM</t>
  </si>
  <si>
    <t>EMMANUEL TOYIN IBIWOYE</t>
  </si>
  <si>
    <t>OLADIPO JOHN BOLAJI</t>
  </si>
  <si>
    <t>ANUMUDU, ISRAEL OJORE</t>
  </si>
  <si>
    <t>ASEKUNOWO, OLUWOLE</t>
  </si>
  <si>
    <t>HASSAN, QUADRY BABATUNDE</t>
  </si>
  <si>
    <t>OMODIAGBE CHRISTOPHER IJOGBE</t>
  </si>
  <si>
    <t>ITHENUMAH OSIKWEMEH EMMANUEL</t>
  </si>
  <si>
    <t>STORE</t>
  </si>
  <si>
    <t>AJOLOKO OLUMUYIWA</t>
  </si>
  <si>
    <t>AIGBOKHAI MICHAEL</t>
  </si>
  <si>
    <t>ALIYU RAHMON</t>
  </si>
  <si>
    <t>OD rate</t>
  </si>
  <si>
    <t>PH rate</t>
  </si>
  <si>
    <t>OT Amount</t>
  </si>
  <si>
    <t>Basic</t>
  </si>
  <si>
    <t>OBAJEMU, DAVID TOYOSI</t>
  </si>
  <si>
    <t>FAKEYE, DANIEL OLAOLUWA</t>
  </si>
  <si>
    <t>OBAJULUWA, FEMI VICTOR</t>
  </si>
  <si>
    <t>IHUOMA, CHIMA  MAXIMILLIAN</t>
  </si>
  <si>
    <t>AYODELE, ADEKUNLE LAWRENCE</t>
  </si>
  <si>
    <t>OKONGWU, HARRISON UGOCHUKWU</t>
  </si>
  <si>
    <t>OLOWO, ABIODUN</t>
  </si>
  <si>
    <t>ELIJAH, JEREMIAH</t>
  </si>
  <si>
    <t>OGUNFUNWA, OLADAPO   SAMUEL</t>
  </si>
  <si>
    <t>ADEBAYO, OLUTAYO SOLOMON</t>
  </si>
  <si>
    <t>ANI, OSMOND OSITADINMA</t>
  </si>
  <si>
    <t>AKEJU, SUNDAY OLUSHOLA</t>
  </si>
  <si>
    <t>AKINMUSAYO, RAPHAEL OLUWOLE</t>
  </si>
  <si>
    <t>AKINMOLA, SEUN SUNDAY</t>
  </si>
  <si>
    <t>EMMANUEL, OGIDI JAMES</t>
  </si>
  <si>
    <t>FATOBA, ADENIYI JOHNSON</t>
  </si>
  <si>
    <t>OSAYEMI, OLADIMEJI</t>
  </si>
  <si>
    <t>ADEBONOJO, ABIODUN  ADEDOYIN</t>
  </si>
  <si>
    <t>AGBABIAKA, JOSHUA OLANI</t>
  </si>
  <si>
    <t>OSENI, AZEEZ GBENGA</t>
  </si>
  <si>
    <t>OGUNDARE, SUNKANMI .M.</t>
  </si>
  <si>
    <t>ADELIYI, OMOLADE OLUMIDE</t>
  </si>
  <si>
    <t>KUYEBI, LUKMAN OLAYEMI</t>
  </si>
  <si>
    <t>EZENWA CHIGOZIE</t>
  </si>
  <si>
    <t>TEJUOSHO BABAJIDE GABRIEL</t>
  </si>
  <si>
    <t>EGBEH, PETER IGOCHE</t>
  </si>
  <si>
    <t>LAWAL, KHADIJAH</t>
  </si>
  <si>
    <t>LUQMON NOSIRU HABEEB</t>
  </si>
  <si>
    <t>NDUNAGA, CHIJIOKE</t>
  </si>
  <si>
    <t>NWOKOYE, OBIAJULU CHUKWUEBUKA</t>
  </si>
  <si>
    <t>MBAGWU, IKENNA CHRISTIAN</t>
  </si>
  <si>
    <t>AKINLOYE, VICTOR OLUWATOSIN</t>
  </si>
  <si>
    <t>SIMPA, PETER</t>
  </si>
  <si>
    <t>MADUKWE, KELVIN NKEMAKOLAM</t>
  </si>
  <si>
    <t>SUNDAY, NDUKAKU</t>
  </si>
  <si>
    <t>OLOTU, ELINATHAN BEN</t>
  </si>
  <si>
    <t>OLOWOYO, OLUWASEUN</t>
  </si>
  <si>
    <t>AKINTUNDE, AKINWUNMI, WAHEED</t>
  </si>
  <si>
    <t>UROKO JAMES</t>
  </si>
  <si>
    <t>SHOMADE, BOLANLE  AJOKE</t>
  </si>
  <si>
    <t>OMOLEYE, JAMES KEHINDE</t>
  </si>
  <si>
    <t>AKAH, EDIDIONG</t>
  </si>
  <si>
    <t>BAMISILE, YEMISI  IBUKUN</t>
  </si>
  <si>
    <t>TIJANI, AZEEZ OLAMIDE</t>
  </si>
  <si>
    <t>OLAYANJU, OLATUNDE AKEEM</t>
  </si>
  <si>
    <t>OYEWUMI, LUQMAN ADEBOYE</t>
  </si>
  <si>
    <t>ADEBAYO, EMMANUEL ADEWALE</t>
  </si>
  <si>
    <t>KUPONIYI, ADEWOLE JAMES</t>
  </si>
  <si>
    <t>ODUS, ENIFORO ANTHONY</t>
  </si>
  <si>
    <t>CHUKWUMAH, JONATHAN C.O</t>
  </si>
  <si>
    <t>EROMOSELE, ALEXANDER</t>
  </si>
  <si>
    <t>OGUNDIPE, OLUSEGUN JOHNSON</t>
  </si>
  <si>
    <t>EREBI, NATHANIEL</t>
  </si>
  <si>
    <t>ADEDEJI, JOSHUA ADEWALE</t>
  </si>
  <si>
    <t>PETERS, ITUNU RUTH</t>
  </si>
  <si>
    <t>SADIKU ANSELM</t>
  </si>
  <si>
    <t>TOLUSE, OLUWASUN SAMUEL</t>
  </si>
  <si>
    <t>ONAEMO, OVORORO  OGHENEWEDE</t>
  </si>
  <si>
    <t>OYEWO, KOLAWOLE OPEYEMI</t>
  </si>
  <si>
    <t>SULEIMAN, ABDULMUMIN .K.</t>
  </si>
  <si>
    <t>WINTOKUN, YINKA GIDEON</t>
  </si>
  <si>
    <t>ADENIYI TIMOTHY</t>
  </si>
  <si>
    <t>AYANSI, ODILI</t>
  </si>
  <si>
    <t>IKWUEME, EBUKA  .C.</t>
  </si>
  <si>
    <t>PEKE, TERHIDE PETER</t>
  </si>
  <si>
    <t>ADEGBOLA, ROTIMI JOHNSON</t>
  </si>
  <si>
    <t>OGUNBODEDE, BABATUNDE</t>
  </si>
  <si>
    <t>AJAYI, OPEYEMI  JOSHUA</t>
  </si>
  <si>
    <t>OKORONKWO, AUGUSTINE ORJI</t>
  </si>
  <si>
    <t>OBASEKOLA OLALEKAN</t>
  </si>
  <si>
    <t>AKINLEYE OLUWAGBENRO</t>
  </si>
  <si>
    <t>ANKELI, DAVID ABAH</t>
  </si>
  <si>
    <t>OGUNDIRAN, MURITALA MURITALA</t>
  </si>
  <si>
    <t>SHITTU, ADAMS ADAMS</t>
  </si>
  <si>
    <t>ADEDOJA LAPITE</t>
  </si>
  <si>
    <t>ADENEKAN, DAVID  ABIODUN</t>
  </si>
  <si>
    <t>ADEYEMO, OLUSEGUN</t>
  </si>
  <si>
    <t>ADEPOJU, SAMUEL ADEOLA SAMUEL</t>
  </si>
  <si>
    <t>LAWAL, ADEKUNLE ADEKUNLE</t>
  </si>
  <si>
    <t>FALUYI, ABIODUN  JOSEPH</t>
  </si>
  <si>
    <t>SULE, EMMANUEL EMMANUEL</t>
  </si>
  <si>
    <t>AUTA, BAMAIYI BAMAIYI</t>
  </si>
  <si>
    <t>OKORO GODWIN</t>
  </si>
  <si>
    <t>OLUWADAMILARE, TAIWO EMMANUEL</t>
  </si>
  <si>
    <t>ERIBA, OJOWU  JOHN</t>
  </si>
  <si>
    <t>OLOWOLAFE, THOMAS</t>
  </si>
  <si>
    <t>OGUNTOLA, JOSEPH IDOWU</t>
  </si>
  <si>
    <t>OFAGBE, GABRIEL CHUKWUNALU</t>
  </si>
  <si>
    <t>OLABISI, OLADIPO OLABISI</t>
  </si>
  <si>
    <t>OLUSHOLA, AMOS  GBENGA</t>
  </si>
  <si>
    <t>OJEBODE, OLUWARANTI BABATUNDE</t>
  </si>
  <si>
    <t>BADMUS, SULAIMON AJAGBE</t>
  </si>
  <si>
    <t>ILESANMI, FOLARIN  DAMILOLA</t>
  </si>
  <si>
    <t>BADUNG, JOSEPH</t>
  </si>
  <si>
    <t>ODUNZE, STANLEY IFEANYI</t>
  </si>
  <si>
    <t>GBEMIBADE, ADEPETUN OLUWASEYI</t>
  </si>
  <si>
    <t>DURUGO, MICHAEL UDOKA</t>
  </si>
  <si>
    <t>FALADE OMOLOLU</t>
  </si>
  <si>
    <t>AHANIHEONYE CHIGOZIE</t>
  </si>
  <si>
    <t>SHEDU, OLAMIDE OLUWATOSIN</t>
  </si>
  <si>
    <t>ABIDEMI SOYINKA</t>
  </si>
  <si>
    <t>ADEBAYO, SAMSON SAMSON</t>
  </si>
  <si>
    <t>IDOMA, MICHAEL MICHAEL</t>
  </si>
  <si>
    <t>ABDULYEKEEN, AFEEZ OLAWALE</t>
  </si>
  <si>
    <t>AYOADE, RAMONI  ADEOLA</t>
  </si>
  <si>
    <t>ODERINDE, MICHAEL OLALEKAN</t>
  </si>
  <si>
    <t>KIYESOLA, BOLUWAJU MICHAEL</t>
  </si>
  <si>
    <t>ODEJA, EVERESTUS  ONYEMA</t>
  </si>
  <si>
    <t>ENUMAH EMMANUEL MADUABUCHUCKWU</t>
  </si>
  <si>
    <t>OKHAIGBE, BARRY EHIS</t>
  </si>
  <si>
    <t>DADA JOHN OPEYEMI</t>
  </si>
  <si>
    <t>MUTAIRU RASAQ</t>
  </si>
  <si>
    <t>OPATOLA, YEMI TAIWO</t>
  </si>
  <si>
    <t>POPOOLA VERONICA</t>
  </si>
  <si>
    <t>ADRIYEN, ADEYEMI JOHN</t>
  </si>
  <si>
    <t>TELLA, ADESOLA ADESOLA</t>
  </si>
  <si>
    <t>ADEKANYE, JULIANA  MOJISOLA</t>
  </si>
  <si>
    <t>SADIKU, JIMOH  DEJI</t>
  </si>
  <si>
    <t>JACOB SUCCESS FELIX</t>
  </si>
  <si>
    <t>OKERE VIVIAN</t>
  </si>
  <si>
    <t>SUNDAY, FELIX ETTA</t>
  </si>
  <si>
    <t>JIMILEHIN, OLASUPO MOSES</t>
  </si>
  <si>
    <t>ELABOR EMMANUEL</t>
  </si>
  <si>
    <t>LAWAL MURITALA</t>
  </si>
  <si>
    <t>OJAJUNI KEHINDE</t>
  </si>
  <si>
    <t>AFUYE, SUNDAY OLAWALE</t>
  </si>
  <si>
    <t>TEMENU, OYEBOLA DAVID</t>
  </si>
  <si>
    <t>VIVIAN EFFIONG</t>
  </si>
  <si>
    <t>YUSUF MORENIKEJI</t>
  </si>
  <si>
    <t>EGBUFOR EKENE DANIEL</t>
  </si>
  <si>
    <t>AGBALUWA ERHUMU</t>
  </si>
  <si>
    <t>AJALA IBRAHIM</t>
  </si>
  <si>
    <t>BANJO, OLUSEGUN ADEDAYO</t>
  </si>
  <si>
    <t>DUROSARO TOYIN</t>
  </si>
  <si>
    <t>ABIFARIN OLUWADAMLOLA</t>
  </si>
  <si>
    <t>FALODUN OLUWATOYIN</t>
  </si>
  <si>
    <t>LAWAL OLANREWAJU</t>
  </si>
  <si>
    <t>OGUNDELE JOSEPH</t>
  </si>
  <si>
    <t>OYEKOLA OLUWAFEMI</t>
  </si>
  <si>
    <t>BAMIGBOLA FALAJIMI</t>
  </si>
  <si>
    <t>OGUNDIRAN WILLIAMS ADEGBOYEGA  </t>
  </si>
  <si>
    <t>ADEGBOYEGA, KHABEER KOLAPO</t>
  </si>
  <si>
    <t>CHRISTOPHER, OLADIMEJI BABATUNDE</t>
  </si>
  <si>
    <t>IYAMU, IYOBOSA</t>
  </si>
  <si>
    <t>RAPHAEL, MONDAY DI</t>
  </si>
  <si>
    <t>OWOOLA AHMED OLANREWAJU</t>
  </si>
  <si>
    <t>BADMUS ADESINA MUYIDEEN</t>
  </si>
  <si>
    <t>BAMIDELE, ELIJAH ABIODUN</t>
  </si>
  <si>
    <t>AKINWUMI, OLUMIDE SUNDAY ADENUSI</t>
  </si>
  <si>
    <t>MAYOWA OLUWAFEMI KOLAWOLE</t>
  </si>
  <si>
    <t>ABDULKAREEM ADEMOLA OLAKANLA</t>
  </si>
  <si>
    <t>IBE JOSEPH</t>
  </si>
  <si>
    <t>UCHENDU, CHISOM  IKECHUKWU</t>
  </si>
  <si>
    <t>OWOLABI, BABATUNDE BABATUNDE</t>
  </si>
  <si>
    <t>EZEKWE, IFEANYI  CHARLES</t>
  </si>
  <si>
    <t>AKINNIBOSUN, SIJIBOMI OMONIYI</t>
  </si>
  <si>
    <t>OLADIMEJI, OLUSEYI, OLAPOSI</t>
  </si>
  <si>
    <t>AMAVI OLUSEGUN AMOS</t>
  </si>
  <si>
    <t>CHARDEY, MODUPE ELIZABETH</t>
  </si>
  <si>
    <t>OGUNBAYO AZEEZ AKANBI</t>
  </si>
  <si>
    <t>ADEAGBO SAMSON</t>
  </si>
  <si>
    <t>KOLAWOLE, GBENGA</t>
  </si>
  <si>
    <t>OLADEJI OLAREWAJU</t>
  </si>
  <si>
    <t>OGUNTOLU, FOLORUNSO YINKA</t>
  </si>
  <si>
    <t>ONABANJO, OYEWOLE</t>
  </si>
  <si>
    <t>AFUWAPE JOHN</t>
  </si>
  <si>
    <t>ADESIYAN, SAMUEL OLUFEMI</t>
  </si>
  <si>
    <t>IGHODARO, IYABOSA BLESSING</t>
  </si>
  <si>
    <t>AYOROTIMI, BABATOPE</t>
  </si>
  <si>
    <t>ODEGA, JERRY UCHE</t>
  </si>
  <si>
    <t>AJOLOKO MUYIWA</t>
  </si>
  <si>
    <t>AIGBOKHAI, ISEHUA  MICHEAL</t>
  </si>
  <si>
    <t>IGWURUBE PETER OFORBUIKE</t>
  </si>
  <si>
    <t>ALAWE, OLUBODUN OLAKOLE</t>
  </si>
  <si>
    <t>ALUMONA EZINE</t>
  </si>
  <si>
    <t>Syrup Technician B</t>
  </si>
  <si>
    <t>Syrup Technician A</t>
  </si>
  <si>
    <t>Mechanical Technician B</t>
  </si>
  <si>
    <t>Mechanical Technician A</t>
  </si>
  <si>
    <t>Automation Technician A</t>
  </si>
  <si>
    <t>Automation Technician B</t>
  </si>
  <si>
    <t>Electrical Technician A</t>
  </si>
  <si>
    <t xml:space="preserve">SPECIALIST A </t>
  </si>
  <si>
    <t>Electrical Technician B</t>
  </si>
  <si>
    <t xml:space="preserve">LAB TECH A </t>
  </si>
  <si>
    <t>LAB TECH B</t>
  </si>
  <si>
    <t>UMWENI, JOEL</t>
  </si>
  <si>
    <t>JAYEOBA, JOSHUA</t>
  </si>
  <si>
    <t>NWACHUKWU, PAUL</t>
  </si>
  <si>
    <t xml:space="preserve">KASARACHI, COLINS </t>
  </si>
  <si>
    <t>NWACHUKU, CHIBUZOR</t>
  </si>
  <si>
    <t>AKPOTIWHE, STEVE</t>
  </si>
  <si>
    <t>OLAKITAN, BABATUNDE</t>
  </si>
  <si>
    <t>BANJO, TIMILEYIN</t>
  </si>
  <si>
    <t xml:space="preserve"> IDORNIGIE, HERBERT</t>
  </si>
  <si>
    <t>ASAFA, IBRAHIM</t>
  </si>
  <si>
    <t>ADEWALE, OLUWASEYI</t>
  </si>
  <si>
    <t>Training</t>
  </si>
  <si>
    <t>T</t>
  </si>
  <si>
    <t>Target</t>
  </si>
  <si>
    <t>Actual</t>
  </si>
  <si>
    <t xml:space="preserve">LAB TECH </t>
  </si>
  <si>
    <t>Syrup Technician</t>
  </si>
  <si>
    <t>SPECIALIST</t>
  </si>
  <si>
    <t>ELECTRICAL</t>
  </si>
  <si>
    <t>Electrical Technician</t>
  </si>
  <si>
    <t>Automation Technician</t>
  </si>
  <si>
    <t>Mechanical Technician</t>
  </si>
  <si>
    <t>HARRISON OKONGWU</t>
  </si>
  <si>
    <t>MIRACLE CHIJOKE ALOZIE</t>
  </si>
  <si>
    <t>IGHODARO, IYOBOSA BLESSING</t>
  </si>
  <si>
    <t>Exemption</t>
  </si>
  <si>
    <t>E</t>
  </si>
  <si>
    <t>BADMUS , ADESHINA</t>
  </si>
  <si>
    <t>BANJO OLUWATIMILEHIN</t>
  </si>
  <si>
    <t>BEN JOSEPH</t>
  </si>
  <si>
    <t>LAB TECH</t>
  </si>
  <si>
    <t/>
  </si>
  <si>
    <t>NWACHUKWU, CHIBUZOR</t>
  </si>
  <si>
    <t>ENUMAH EMMANUEL</t>
  </si>
  <si>
    <t>WINTOKUN YINKA</t>
  </si>
  <si>
    <t>PEKE TERHIDE PETER</t>
  </si>
  <si>
    <t>KOLAWOLE OYEWO</t>
  </si>
  <si>
    <t>TIMOTHY ADENIYI</t>
  </si>
  <si>
    <t>AYANSI ODILI</t>
  </si>
  <si>
    <t>BABATUNDE OGUNBODEDE</t>
  </si>
  <si>
    <t>OKORONKWO AUGUSTINE</t>
  </si>
  <si>
    <t xml:space="preserve">AFUWAPE JOHN </t>
  </si>
  <si>
    <t>ABDULMUMIN, SULEIMAN</t>
  </si>
  <si>
    <t xml:space="preserve">AKINLEYE OLUWAGBENRO </t>
  </si>
  <si>
    <t>DAVID ANKELI</t>
  </si>
  <si>
    <t xml:space="preserve">AJAYI OPEYEMI </t>
  </si>
  <si>
    <t>IDOMA MICHEAL</t>
  </si>
  <si>
    <t>p</t>
  </si>
  <si>
    <t>ITUNU PETER</t>
  </si>
  <si>
    <t>OLAKITAN BABATUNDE</t>
  </si>
  <si>
    <t>Apr</t>
  </si>
  <si>
    <t>Work Center</t>
  </si>
  <si>
    <t>Eng</t>
  </si>
  <si>
    <t>Qua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</si>
</sst>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d"/>
    <numFmt numFmtId="166" formatCode="mmm"/>
    <numFmt numFmtId="167" formatCode="??,??0"/>
    <numFmt numFmtId="168" formatCode="????????"/>
    <numFmt numFmtId="169" formatCode="???,??0.00"/>
    <numFmt numFmtId="170" formatCode="??,??0.00"/>
    <numFmt numFmtId="171" formatCode=";;;"/>
    <numFmt numFmtId="172" formatCode="[$-409]h:mm\ AM/PM;@"/>
  </numFmts>
  <fonts count="32">
    <font>
      <sz val="11"/>
      <name val="Calibri"/>
    </font>
    <font>
      <sz val="9"/>
      <name val="Arial Narrow"/>
      <family val="2"/>
    </font>
    <font>
      <sz val="11"/>
      <color rgb="FF000000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0"/>
      <color rgb="FFFFFFFF"/>
      <name val="Calibri Light"/>
      <family val="2"/>
    </font>
    <font>
      <b/>
      <sz val="11"/>
      <color rgb="FFFFFFFF"/>
      <name val="Calibri Light"/>
      <family val="2"/>
    </font>
    <font>
      <sz val="9"/>
      <color indexed="8"/>
      <name val="Courier New"/>
      <family val="3"/>
    </font>
    <font>
      <sz val="9"/>
      <color rgb="FF000000"/>
      <name val="Courier New"/>
      <family val="3"/>
    </font>
    <font>
      <sz val="9"/>
      <color rgb="FFFF0000"/>
      <name val="Courier New"/>
      <family val="3"/>
    </font>
    <font>
      <sz val="10"/>
      <name val="Tahoma"/>
      <family val="2"/>
    </font>
    <font>
      <b/>
      <sz val="18"/>
      <color rgb="FF4473C4"/>
      <name val="Calibri Light"/>
      <family val="2"/>
    </font>
    <font>
      <b/>
      <sz val="18"/>
      <color indexed="63"/>
      <name val="Calibri"/>
      <family val="2"/>
    </font>
    <font>
      <b/>
      <sz val="20"/>
      <color rgb="FF4473C4"/>
      <name val="Arial Narrow"/>
      <family val="2"/>
    </font>
    <font>
      <u/>
      <sz val="11"/>
      <color rgb="FF0463C1"/>
      <name val="Calibri"/>
      <family val="2"/>
    </font>
    <font>
      <sz val="8"/>
      <name val="Arial"/>
      <family val="2"/>
    </font>
    <font>
      <b/>
      <sz val="11"/>
      <name val="Calibri Light"/>
      <family val="2"/>
    </font>
    <font>
      <b/>
      <sz val="11"/>
      <name val="Calibri"/>
      <family val="2"/>
    </font>
    <font>
      <sz val="10"/>
      <color rgb="FF00B050"/>
      <name val="Calibri"/>
      <family val="2"/>
    </font>
    <font>
      <sz val="10"/>
      <name val="Calibri Light"/>
      <family val="2"/>
    </font>
    <font>
      <b/>
      <sz val="10"/>
      <name val="Calibri"/>
      <family val="2"/>
    </font>
    <font>
      <sz val="10"/>
      <color rgb="FFF2F2F2"/>
      <name val="Calibri"/>
      <family val="2"/>
    </font>
    <font>
      <b/>
      <sz val="11"/>
      <name val="Arial Narrow"/>
      <family val="2"/>
    </font>
    <font>
      <sz val="10"/>
      <name val="Arial Narrow"/>
      <family val="2"/>
    </font>
    <font>
      <i/>
      <sz val="10"/>
      <color indexed="12"/>
      <name val="Calibri"/>
      <family val="2"/>
    </font>
    <font>
      <i/>
      <sz val="10"/>
      <name val="Calibri"/>
      <family val="2"/>
    </font>
    <font>
      <b/>
      <sz val="9"/>
      <name val="Arial Narrow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1"/>
      <color rgb="FF000000"/>
      <name val="Calibri"/>
      <family val="2"/>
    </font>
    <font>
      <sz val="10"/>
      <color theme="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A8D08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7F7F7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1">
    <xf numFmtId="0" fontId="0" fillId="0" borderId="0">
      <alignment vertical="center"/>
    </xf>
    <xf numFmtId="0" fontId="27" fillId="0" borderId="0">
      <protection locked="0"/>
    </xf>
    <xf numFmtId="164" fontId="28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14" fillId="0" borderId="0">
      <protection locked="0"/>
    </xf>
    <xf numFmtId="0" fontId="4" fillId="0" borderId="0">
      <alignment vertical="center"/>
    </xf>
    <xf numFmtId="164" fontId="2" fillId="0" borderId="0">
      <protection locked="0"/>
    </xf>
    <xf numFmtId="0" fontId="30" fillId="0" borderId="0"/>
    <xf numFmtId="0" fontId="2" fillId="0" borderId="0"/>
    <xf numFmtId="0" fontId="2" fillId="0" borderId="0">
      <protection locked="0"/>
    </xf>
  </cellStyleXfs>
  <cellXfs count="141">
    <xf numFmtId="0" fontId="0" fillId="0" borderId="0" xfId="0">
      <alignment vertical="center"/>
    </xf>
    <xf numFmtId="0" fontId="2" fillId="0" borderId="0" xfId="0" applyFont="1" applyAlignment="1"/>
    <xf numFmtId="170" fontId="8" fillId="0" borderId="0" xfId="4" applyNumberFormat="1" applyFont="1" applyAlignment="1" applyProtection="1">
      <alignment horizontal="right" vertical="center"/>
    </xf>
    <xf numFmtId="0" fontId="8" fillId="0" borderId="0" xfId="4" applyFont="1" applyAlignment="1" applyProtection="1">
      <alignment horizontal="left" vertical="center"/>
    </xf>
    <xf numFmtId="168" fontId="8" fillId="0" borderId="0" xfId="4" applyNumberFormat="1" applyFont="1" applyAlignment="1" applyProtection="1">
      <alignment horizontal="left" vertical="center"/>
    </xf>
    <xf numFmtId="0" fontId="10" fillId="0" borderId="0" xfId="0" applyFont="1" applyAlignment="1"/>
    <xf numFmtId="0" fontId="3" fillId="0" borderId="0" xfId="0" applyFont="1" applyAlignment="1"/>
    <xf numFmtId="0" fontId="2" fillId="0" borderId="0" xfId="0" applyFont="1">
      <alignment vertical="center"/>
    </xf>
    <xf numFmtId="0" fontId="5" fillId="4" borderId="17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164" fontId="23" fillId="11" borderId="21" xfId="2" applyFont="1" applyFill="1" applyBorder="1" applyAlignment="1">
      <alignment horizontal="center" vertical="center"/>
      <protection locked="0"/>
    </xf>
    <xf numFmtId="164" fontId="23" fillId="11" borderId="5" xfId="2" applyFont="1" applyFill="1" applyBorder="1" applyAlignment="1">
      <alignment horizontal="center" vertical="center"/>
      <protection locked="0"/>
    </xf>
    <xf numFmtId="4" fontId="1" fillId="10" borderId="21" xfId="0" applyNumberFormat="1" applyFont="1" applyFill="1" applyBorder="1" applyAlignment="1">
      <alignment horizontal="center" vertical="center"/>
    </xf>
    <xf numFmtId="4" fontId="1" fillId="10" borderId="4" xfId="0" applyNumberFormat="1" applyFont="1" applyFill="1" applyBorder="1" applyAlignment="1">
      <alignment horizontal="center" vertical="center"/>
    </xf>
    <xf numFmtId="0" fontId="2" fillId="10" borderId="0" xfId="0" applyFont="1" applyFill="1" applyAlignment="1"/>
    <xf numFmtId="172" fontId="25" fillId="0" borderId="0" xfId="0" applyNumberFormat="1" applyFont="1" applyAlignment="1">
      <alignment horizontal="left" vertical="top"/>
    </xf>
    <xf numFmtId="169" fontId="8" fillId="0" borderId="0" xfId="4" applyNumberFormat="1" applyFont="1" applyAlignment="1" applyProtection="1">
      <alignment horizontal="right" vertical="center"/>
    </xf>
    <xf numFmtId="168" fontId="8" fillId="6" borderId="0" xfId="4" applyNumberFormat="1" applyFont="1" applyFill="1" applyAlignment="1" applyProtection="1">
      <alignment horizontal="left" vertical="center"/>
    </xf>
    <xf numFmtId="0" fontId="8" fillId="6" borderId="0" xfId="4" applyFont="1" applyFill="1" applyAlignment="1" applyProtection="1">
      <alignment horizontal="left" vertical="center"/>
    </xf>
    <xf numFmtId="170" fontId="8" fillId="6" borderId="0" xfId="4" applyNumberFormat="1" applyFont="1" applyFill="1" applyAlignment="1" applyProtection="1">
      <alignment horizontal="right" vertical="center"/>
    </xf>
    <xf numFmtId="0" fontId="0" fillId="0" borderId="4" xfId="0" applyBorder="1" applyAlignment="1">
      <alignment vertical="top"/>
    </xf>
    <xf numFmtId="0" fontId="3" fillId="3" borderId="0" xfId="0" applyFont="1" applyFill="1" applyAlignment="1"/>
    <xf numFmtId="0" fontId="4" fillId="3" borderId="0" xfId="0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166" fontId="6" fillId="4" borderId="2" xfId="0" applyNumberFormat="1" applyFont="1" applyFill="1" applyBorder="1" applyAlignment="1">
      <alignment horizontal="center" vertical="center" shrinkToFit="1"/>
    </xf>
    <xf numFmtId="166" fontId="6" fillId="4" borderId="0" xfId="0" applyNumberFormat="1" applyFont="1" applyFill="1" applyAlignment="1">
      <alignment horizontal="center" vertical="center" shrinkToFit="1"/>
    </xf>
    <xf numFmtId="166" fontId="6" fillId="4" borderId="13" xfId="0" applyNumberFormat="1" applyFont="1" applyFill="1" applyBorder="1" applyAlignment="1">
      <alignment horizontal="center" vertical="center" shrinkToFit="1"/>
    </xf>
    <xf numFmtId="0" fontId="1" fillId="0" borderId="1" xfId="1" applyFont="1" applyBorder="1" applyAlignment="1">
      <alignment horizontal="center" vertical="center"/>
      <protection locked="0"/>
    </xf>
    <xf numFmtId="0" fontId="1" fillId="11" borderId="1" xfId="1" applyFont="1" applyFill="1" applyBorder="1" applyAlignment="1" applyProtection="1">
      <alignment horizontal="center" vertical="center"/>
    </xf>
    <xf numFmtId="0" fontId="1" fillId="11" borderId="18" xfId="1" applyFont="1" applyFill="1" applyBorder="1" applyAlignment="1" applyProtection="1">
      <alignment horizontal="center" vertical="center"/>
    </xf>
    <xf numFmtId="0" fontId="3" fillId="5" borderId="1" xfId="1" applyFont="1" applyFill="1" applyBorder="1" applyAlignment="1">
      <alignment horizontal="left" vertical="center"/>
      <protection locked="0"/>
    </xf>
    <xf numFmtId="0" fontId="3" fillId="5" borderId="1" xfId="1" applyFont="1" applyFill="1" applyBorder="1" applyAlignment="1">
      <alignment horizontal="center" vertical="center"/>
      <protection locked="0"/>
    </xf>
    <xf numFmtId="0" fontId="1" fillId="11" borderId="1" xfId="1" applyFont="1" applyFill="1" applyBorder="1" applyAlignment="1" applyProtection="1">
      <alignment horizontal="center" vertical="center"/>
      <protection hidden="1"/>
    </xf>
    <xf numFmtId="0" fontId="1" fillId="11" borderId="22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protection hidden="1"/>
    </xf>
    <xf numFmtId="4" fontId="1" fillId="6" borderId="19" xfId="0" applyNumberFormat="1" applyFont="1" applyFill="1" applyBorder="1" applyAlignment="1" applyProtection="1">
      <alignment horizontal="center" vertical="center"/>
      <protection hidden="1"/>
    </xf>
    <xf numFmtId="4" fontId="1" fillId="12" borderId="0" xfId="0" applyNumberFormat="1" applyFont="1" applyFill="1" applyAlignment="1" applyProtection="1">
      <alignment horizontal="center" vertical="center"/>
      <protection hidden="1"/>
    </xf>
    <xf numFmtId="164" fontId="23" fillId="11" borderId="20" xfId="2" applyFont="1" applyFill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horizontal="center" vertical="center"/>
      <protection hidden="1"/>
    </xf>
    <xf numFmtId="4" fontId="22" fillId="10" borderId="23" xfId="0" applyNumberFormat="1" applyFont="1" applyFill="1" applyBorder="1" applyAlignment="1" applyProtection="1">
      <alignment horizontal="center" vertical="center"/>
      <protection hidden="1"/>
    </xf>
    <xf numFmtId="172" fontId="25" fillId="10" borderId="0" xfId="0" applyNumberFormat="1" applyFont="1" applyFill="1" applyAlignment="1" applyProtection="1">
      <alignment horizontal="left" vertical="top"/>
      <protection hidden="1"/>
    </xf>
    <xf numFmtId="172" fontId="25" fillId="10" borderId="24" xfId="0" applyNumberFormat="1" applyFont="1" applyFill="1" applyBorder="1" applyAlignment="1" applyProtection="1">
      <alignment horizontal="left" vertical="top"/>
      <protection hidden="1"/>
    </xf>
    <xf numFmtId="0" fontId="3" fillId="10" borderId="24" xfId="0" applyFont="1" applyFill="1" applyBorder="1" applyAlignment="1" applyProtection="1">
      <protection hidden="1"/>
    </xf>
    <xf numFmtId="4" fontId="26" fillId="10" borderId="25" xfId="0" applyNumberFormat="1" applyFont="1" applyFill="1" applyBorder="1" applyAlignment="1" applyProtection="1">
      <alignment horizontal="center" vertical="center"/>
      <protection hidden="1"/>
    </xf>
    <xf numFmtId="4" fontId="22" fillId="10" borderId="16" xfId="0" applyNumberFormat="1" applyFont="1" applyFill="1" applyBorder="1" applyAlignment="1" applyProtection="1">
      <alignment horizontal="center" vertical="center"/>
      <protection hidden="1"/>
    </xf>
    <xf numFmtId="0" fontId="3" fillId="0" borderId="24" xfId="0" applyFont="1" applyBorder="1" applyAlignment="1" applyProtection="1">
      <alignment horizontal="left"/>
      <protection hidden="1"/>
    </xf>
    <xf numFmtId="0" fontId="0" fillId="0" borderId="0" xfId="0" applyProtection="1">
      <alignment vertical="center"/>
      <protection hidden="1"/>
    </xf>
    <xf numFmtId="0" fontId="11" fillId="0" borderId="0" xfId="0" applyFont="1" applyProtection="1">
      <alignment vertical="center"/>
      <protection hidden="1"/>
    </xf>
    <xf numFmtId="0" fontId="12" fillId="0" borderId="0" xfId="0" applyFont="1" applyProtection="1">
      <alignment vertical="center"/>
      <protection hidden="1"/>
    </xf>
    <xf numFmtId="0" fontId="13" fillId="0" borderId="0" xfId="0" applyFont="1" applyAlignment="1" applyProtection="1">
      <alignment horizontal="right" vertical="center"/>
      <protection hidden="1"/>
    </xf>
    <xf numFmtId="0" fontId="14" fillId="0" borderId="0" xfId="5" applyProtection="1">
      <protection hidden="1"/>
    </xf>
    <xf numFmtId="0" fontId="3" fillId="0" borderId="0" xfId="0" applyFont="1" applyAlignment="1" applyProtection="1">
      <protection locked="0" hidden="1"/>
    </xf>
    <xf numFmtId="0" fontId="3" fillId="5" borderId="1" xfId="1" applyFont="1" applyFill="1" applyBorder="1" applyAlignment="1" applyProtection="1">
      <alignment horizontal="left" vertical="center"/>
      <protection locked="0" hidden="1"/>
    </xf>
    <xf numFmtId="0" fontId="3" fillId="5" borderId="1" xfId="1" applyFont="1" applyFill="1" applyBorder="1" applyAlignment="1" applyProtection="1">
      <alignment horizontal="center" vertical="center"/>
      <protection locked="0" hidden="1"/>
    </xf>
    <xf numFmtId="0" fontId="29" fillId="14" borderId="28" xfId="1" applyFont="1" applyFill="1" applyBorder="1" applyAlignment="1" applyProtection="1">
      <alignment horizontal="center" vertical="center"/>
      <protection locked="0" hidden="1"/>
    </xf>
    <xf numFmtId="0" fontId="1" fillId="0" borderId="1" xfId="1" applyFont="1" applyBorder="1" applyAlignment="1" applyProtection="1">
      <alignment horizontal="center" vertical="center"/>
      <protection locked="0" hidden="1"/>
    </xf>
    <xf numFmtId="0" fontId="24" fillId="5" borderId="1" xfId="0" applyFont="1" applyFill="1" applyBorder="1" applyAlignment="1" applyProtection="1">
      <alignment horizontal="left" vertical="center"/>
      <protection locked="0" hidden="1"/>
    </xf>
    <xf numFmtId="0" fontId="20" fillId="6" borderId="0" xfId="0" applyFont="1" applyFill="1" applyAlignment="1" applyProtection="1">
      <alignment horizontal="right" vertical="center"/>
      <protection locked="0" hidden="1"/>
    </xf>
    <xf numFmtId="0" fontId="1" fillId="11" borderId="22" xfId="0" applyFont="1" applyFill="1" applyBorder="1" applyAlignment="1" applyProtection="1">
      <alignment horizontal="center" vertical="center"/>
      <protection locked="0" hidden="1"/>
    </xf>
    <xf numFmtId="172" fontId="3" fillId="10" borderId="0" xfId="0" applyNumberFormat="1" applyFont="1" applyFill="1" applyAlignment="1" applyProtection="1">
      <alignment horizontal="left" vertical="top"/>
      <protection locked="0" hidden="1"/>
    </xf>
    <xf numFmtId="172" fontId="25" fillId="10" borderId="0" xfId="0" applyNumberFormat="1" applyFont="1" applyFill="1" applyAlignment="1" applyProtection="1">
      <alignment horizontal="left" vertical="top"/>
      <protection locked="0" hidden="1"/>
    </xf>
    <xf numFmtId="0" fontId="3" fillId="10" borderId="0" xfId="0" applyFont="1" applyFill="1" applyAlignment="1" applyProtection="1">
      <protection locked="0" hidden="1"/>
    </xf>
    <xf numFmtId="0" fontId="3" fillId="10" borderId="6" xfId="0" applyFont="1" applyFill="1" applyBorder="1" applyAlignment="1" applyProtection="1">
      <alignment horizontal="left"/>
      <protection locked="0" hidden="1"/>
    </xf>
    <xf numFmtId="0" fontId="3" fillId="10" borderId="0" xfId="0" applyFont="1" applyFill="1" applyAlignment="1" applyProtection="1">
      <alignment horizontal="left"/>
      <protection locked="0" hidden="1"/>
    </xf>
    <xf numFmtId="14" fontId="3" fillId="10" borderId="0" xfId="0" applyNumberFormat="1" applyFont="1" applyFill="1" applyAlignment="1" applyProtection="1">
      <alignment horizontal="left"/>
      <protection locked="0" hidden="1"/>
    </xf>
    <xf numFmtId="4" fontId="26" fillId="10" borderId="26" xfId="0" applyNumberFormat="1" applyFont="1" applyFill="1" applyBorder="1" applyAlignment="1" applyProtection="1">
      <alignment horizontal="center" vertical="center"/>
      <protection locked="0" hidden="1"/>
    </xf>
    <xf numFmtId="4" fontId="22" fillId="10" borderId="27" xfId="0" applyNumberFormat="1" applyFont="1" applyFill="1" applyBorder="1" applyAlignment="1" applyProtection="1">
      <alignment horizontal="center" vertical="center"/>
      <protection locked="0" hidden="1"/>
    </xf>
    <xf numFmtId="0" fontId="3" fillId="0" borderId="24" xfId="0" applyFont="1" applyBorder="1" applyAlignment="1" applyProtection="1">
      <alignment horizontal="left"/>
      <protection locked="0" hidden="1"/>
    </xf>
    <xf numFmtId="164" fontId="2" fillId="0" borderId="0" xfId="2" applyFont="1" applyProtection="1">
      <protection locked="0" hidden="1"/>
    </xf>
    <xf numFmtId="0" fontId="3" fillId="0" borderId="6" xfId="0" applyFont="1" applyBorder="1" applyAlignment="1" applyProtection="1">
      <alignment horizontal="left"/>
      <protection locked="0" hidden="1"/>
    </xf>
    <xf numFmtId="0" fontId="3" fillId="0" borderId="0" xfId="0" applyFont="1" applyAlignment="1" applyProtection="1">
      <alignment horizontal="left"/>
      <protection locked="0" hidden="1"/>
    </xf>
    <xf numFmtId="14" fontId="3" fillId="0" borderId="0" xfId="0" applyNumberFormat="1" applyFont="1" applyAlignment="1" applyProtection="1">
      <alignment horizontal="left"/>
      <protection locked="0" hidden="1"/>
    </xf>
    <xf numFmtId="0" fontId="0" fillId="0" borderId="0" xfId="0" applyProtection="1">
      <alignment vertical="center"/>
      <protection locked="0" hidden="1"/>
    </xf>
    <xf numFmtId="168" fontId="8" fillId="0" borderId="0" xfId="7" applyNumberFormat="1" applyFont="1" applyAlignment="1" applyProtection="1">
      <alignment horizontal="left" vertical="center"/>
    </xf>
    <xf numFmtId="0" fontId="8" fillId="0" borderId="0" xfId="7" applyNumberFormat="1" applyFont="1" applyAlignment="1" applyProtection="1">
      <alignment horizontal="left" vertical="center"/>
    </xf>
    <xf numFmtId="167" fontId="8" fillId="0" borderId="0" xfId="7" applyNumberFormat="1" applyFont="1" applyAlignment="1" applyProtection="1">
      <alignment horizontal="left" vertical="center"/>
    </xf>
    <xf numFmtId="169" fontId="8" fillId="0" borderId="0" xfId="7" applyNumberFormat="1" applyFont="1" applyAlignment="1" applyProtection="1">
      <alignment horizontal="right" vertical="center"/>
    </xf>
    <xf numFmtId="170" fontId="8" fillId="0" borderId="0" xfId="7" applyNumberFormat="1" applyFont="1" applyAlignment="1" applyProtection="1">
      <alignment horizontal="right" vertical="center"/>
    </xf>
    <xf numFmtId="0" fontId="9" fillId="0" borderId="0" xfId="7" applyNumberFormat="1" applyFont="1" applyAlignment="1" applyProtection="1">
      <alignment horizontal="left" vertical="center"/>
    </xf>
    <xf numFmtId="168" fontId="9" fillId="0" borderId="0" xfId="7" applyNumberFormat="1" applyFont="1" applyAlignment="1" applyProtection="1">
      <alignment horizontal="left" vertical="center"/>
    </xf>
    <xf numFmtId="167" fontId="9" fillId="0" borderId="0" xfId="7" applyNumberFormat="1" applyFont="1" applyAlignment="1" applyProtection="1">
      <alignment horizontal="left" vertical="center"/>
    </xf>
    <xf numFmtId="169" fontId="9" fillId="0" borderId="0" xfId="7" applyNumberFormat="1" applyFont="1" applyAlignment="1" applyProtection="1">
      <alignment horizontal="right" vertical="center"/>
    </xf>
    <xf numFmtId="168" fontId="8" fillId="7" borderId="0" xfId="7" applyNumberFormat="1" applyFont="1" applyFill="1" applyAlignment="1" applyProtection="1">
      <alignment horizontal="left" vertical="center"/>
    </xf>
    <xf numFmtId="168" fontId="7" fillId="0" borderId="0" xfId="7" applyNumberFormat="1" applyFont="1" applyAlignment="1" applyProtection="1">
      <alignment horizontal="left" vertical="center"/>
    </xf>
    <xf numFmtId="169" fontId="8" fillId="5" borderId="0" xfId="7" applyNumberFormat="1" applyFont="1" applyFill="1" applyAlignment="1" applyProtection="1">
      <alignment horizontal="right" vertical="center"/>
    </xf>
    <xf numFmtId="0" fontId="8" fillId="8" borderId="0" xfId="7" applyNumberFormat="1" applyFont="1" applyFill="1" applyAlignment="1" applyProtection="1">
      <alignment horizontal="left" vertical="center"/>
    </xf>
    <xf numFmtId="168" fontId="8" fillId="6" borderId="0" xfId="7" applyNumberFormat="1" applyFont="1" applyFill="1" applyAlignment="1" applyProtection="1">
      <alignment horizontal="left" vertical="center"/>
    </xf>
    <xf numFmtId="0" fontId="8" fillId="6" borderId="0" xfId="7" applyNumberFormat="1" applyFont="1" applyFill="1" applyAlignment="1" applyProtection="1">
      <alignment horizontal="left" vertical="center"/>
    </xf>
    <xf numFmtId="167" fontId="8" fillId="6" borderId="0" xfId="7" applyNumberFormat="1" applyFont="1" applyFill="1" applyAlignment="1" applyProtection="1">
      <alignment horizontal="left" vertical="center"/>
    </xf>
    <xf numFmtId="169" fontId="8" fillId="6" borderId="0" xfId="7" applyNumberFormat="1" applyFont="1" applyFill="1" applyAlignment="1" applyProtection="1">
      <alignment horizontal="right" vertical="center"/>
    </xf>
    <xf numFmtId="170" fontId="8" fillId="6" borderId="0" xfId="7" applyNumberFormat="1" applyFont="1" applyFill="1" applyAlignment="1" applyProtection="1">
      <alignment horizontal="right" vertical="center"/>
    </xf>
    <xf numFmtId="168" fontId="7" fillId="2" borderId="0" xfId="7" applyNumberFormat="1" applyFont="1" applyFill="1" applyAlignment="1" applyProtection="1">
      <alignment horizontal="left" vertical="center"/>
    </xf>
    <xf numFmtId="0" fontId="7" fillId="2" borderId="0" xfId="7" applyNumberFormat="1" applyFont="1" applyFill="1" applyAlignment="1" applyProtection="1">
      <alignment horizontal="left" vertical="center"/>
    </xf>
    <xf numFmtId="170" fontId="7" fillId="2" borderId="0" xfId="7" applyNumberFormat="1" applyFont="1" applyFill="1" applyAlignment="1" applyProtection="1">
      <alignment horizontal="right" vertical="center"/>
    </xf>
    <xf numFmtId="169" fontId="7" fillId="2" borderId="0" xfId="7" applyNumberFormat="1" applyFont="1" applyFill="1" applyAlignment="1" applyProtection="1">
      <alignment horizontal="right" vertical="center"/>
    </xf>
    <xf numFmtId="164" fontId="3" fillId="5" borderId="1" xfId="2" applyFont="1" applyFill="1" applyBorder="1" applyAlignment="1" applyProtection="1">
      <alignment horizontal="center" vertical="center"/>
      <protection hidden="1"/>
    </xf>
    <xf numFmtId="0" fontId="3" fillId="5" borderId="1" xfId="1" applyFont="1" applyFill="1" applyBorder="1" applyAlignment="1" applyProtection="1">
      <alignment horizontal="center" vertical="center"/>
      <protection hidden="1"/>
    </xf>
    <xf numFmtId="0" fontId="1" fillId="11" borderId="0" xfId="1" applyFont="1" applyFill="1" applyAlignment="1" applyProtection="1">
      <alignment horizontal="center" vertical="center"/>
      <protection hidden="1"/>
    </xf>
    <xf numFmtId="0" fontId="1" fillId="15" borderId="1" xfId="1" applyFont="1" applyFill="1" applyBorder="1" applyAlignment="1" applyProtection="1">
      <alignment horizontal="center" vertical="center"/>
      <protection hidden="1"/>
    </xf>
    <xf numFmtId="0" fontId="1" fillId="13" borderId="1" xfId="1" applyFont="1" applyFill="1" applyBorder="1" applyAlignment="1" applyProtection="1">
      <alignment horizontal="center" vertical="center"/>
      <protection hidden="1"/>
    </xf>
    <xf numFmtId="164" fontId="2" fillId="0" borderId="0" xfId="0" applyNumberFormat="1" applyFont="1" applyAlignment="1"/>
    <xf numFmtId="0" fontId="4" fillId="0" borderId="0" xfId="0" applyFont="1">
      <alignment vertical="center"/>
    </xf>
    <xf numFmtId="0" fontId="3" fillId="0" borderId="0" xfId="0" applyFont="1" applyAlignment="1" applyProtection="1">
      <alignment horizontal="right"/>
      <protection hidden="1"/>
    </xf>
    <xf numFmtId="0" fontId="15" fillId="0" borderId="0" xfId="0" applyFont="1" applyAlignment="1" applyProtection="1">
      <protection hidden="1"/>
    </xf>
    <xf numFmtId="0" fontId="16" fillId="0" borderId="0" xfId="0" applyFont="1" applyAlignment="1" applyProtection="1">
      <alignment horizontal="right" vertical="center" indent="1"/>
      <protection hidden="1"/>
    </xf>
    <xf numFmtId="0" fontId="17" fillId="0" borderId="6" xfId="0" applyFont="1" applyBorder="1" applyAlignment="1" applyProtection="1">
      <alignment horizontal="left" vertical="center"/>
      <protection hidden="1"/>
    </xf>
    <xf numFmtId="0" fontId="2" fillId="0" borderId="0" xfId="0" applyFont="1" applyAlignment="1" applyProtection="1">
      <protection hidden="1"/>
    </xf>
    <xf numFmtId="0" fontId="18" fillId="0" borderId="0" xfId="0" applyFont="1" applyProtection="1">
      <alignment vertical="center"/>
      <protection hidden="1"/>
    </xf>
    <xf numFmtId="0" fontId="18" fillId="0" borderId="0" xfId="0" applyFont="1" applyAlignment="1" applyProtection="1">
      <protection hidden="1"/>
    </xf>
    <xf numFmtId="0" fontId="19" fillId="0" borderId="0" xfId="0" applyFont="1" applyAlignment="1" applyProtection="1">
      <alignment horizontal="right" indent="1"/>
      <protection hidden="1"/>
    </xf>
    <xf numFmtId="0" fontId="3" fillId="0" borderId="0" xfId="0" applyFont="1" applyAlignment="1" applyProtection="1">
      <alignment horizontal="left"/>
      <protection hidden="1"/>
    </xf>
    <xf numFmtId="14" fontId="20" fillId="0" borderId="7" xfId="0" applyNumberFormat="1" applyFont="1" applyBorder="1" applyAlignment="1" applyProtection="1">
      <alignment horizontal="left"/>
      <protection hidden="1"/>
    </xf>
    <xf numFmtId="0" fontId="3" fillId="0" borderId="8" xfId="0" applyFont="1" applyBorder="1" applyAlignment="1" applyProtection="1">
      <protection hidden="1"/>
    </xf>
    <xf numFmtId="0" fontId="21" fillId="0" borderId="0" xfId="0" applyFont="1" applyAlignment="1" applyProtection="1">
      <alignment horizontal="center"/>
      <protection hidden="1"/>
    </xf>
    <xf numFmtId="0" fontId="31" fillId="0" borderId="0" xfId="0" applyFont="1" applyAlignment="1" applyProtection="1">
      <protection hidden="1"/>
    </xf>
    <xf numFmtId="0" fontId="31" fillId="0" borderId="0" xfId="0" applyFont="1" applyProtection="1">
      <alignment vertical="center"/>
      <protection hidden="1"/>
    </xf>
    <xf numFmtId="171" fontId="31" fillId="0" borderId="0" xfId="0" applyNumberFormat="1" applyFont="1" applyAlignment="1" applyProtection="1">
      <protection hidden="1"/>
    </xf>
    <xf numFmtId="0" fontId="3" fillId="3" borderId="0" xfId="0" applyFont="1" applyFill="1" applyAlignment="1" applyProtection="1">
      <protection hidden="1"/>
    </xf>
    <xf numFmtId="0" fontId="4" fillId="3" borderId="0" xfId="0" applyFont="1" applyFill="1" applyAlignment="1" applyProtection="1">
      <alignment horizontal="center"/>
      <protection hidden="1"/>
    </xf>
    <xf numFmtId="0" fontId="3" fillId="3" borderId="12" xfId="0" applyFont="1" applyFill="1" applyBorder="1" applyAlignment="1" applyProtection="1">
      <protection hidden="1"/>
    </xf>
    <xf numFmtId="165" fontId="4" fillId="3" borderId="0" xfId="0" applyNumberFormat="1" applyFont="1" applyFill="1" applyAlignment="1" applyProtection="1">
      <alignment horizontal="center"/>
      <protection hidden="1"/>
    </xf>
    <xf numFmtId="0" fontId="5" fillId="4" borderId="0" xfId="0" applyFont="1" applyFill="1" applyAlignment="1" applyProtection="1">
      <alignment horizontal="center" vertical="center" wrapText="1"/>
      <protection hidden="1"/>
    </xf>
    <xf numFmtId="166" fontId="6" fillId="4" borderId="2" xfId="0" applyNumberFormat="1" applyFont="1" applyFill="1" applyBorder="1" applyAlignment="1" applyProtection="1">
      <alignment horizontal="center" vertical="center" shrinkToFit="1"/>
      <protection hidden="1"/>
    </xf>
    <xf numFmtId="166" fontId="6" fillId="4" borderId="0" xfId="0" applyNumberFormat="1" applyFont="1" applyFill="1" applyAlignment="1" applyProtection="1">
      <alignment horizontal="center" vertical="center" shrinkToFit="1"/>
      <protection hidden="1"/>
    </xf>
    <xf numFmtId="166" fontId="6" fillId="4" borderId="13" xfId="0" applyNumberFormat="1" applyFont="1" applyFill="1" applyBorder="1" applyAlignment="1" applyProtection="1">
      <alignment horizontal="center" vertical="center" shrinkToFit="1"/>
      <protection hidden="1"/>
    </xf>
    <xf numFmtId="0" fontId="5" fillId="4" borderId="14" xfId="0" applyFont="1" applyFill="1" applyBorder="1" applyAlignment="1" applyProtection="1">
      <alignment horizontal="center" vertical="center" wrapText="1"/>
      <protection hidden="1"/>
    </xf>
    <xf numFmtId="0" fontId="5" fillId="4" borderId="15" xfId="0" applyFont="1" applyFill="1" applyBorder="1" applyAlignment="1" applyProtection="1">
      <alignment horizontal="center" vertical="center" wrapText="1"/>
      <protection hidden="1"/>
    </xf>
    <xf numFmtId="0" fontId="5" fillId="4" borderId="16" xfId="0" applyFont="1" applyFill="1" applyBorder="1" applyAlignment="1" applyProtection="1">
      <alignment horizontal="center" vertical="center" wrapText="1"/>
      <protection hidden="1"/>
    </xf>
    <xf numFmtId="4" fontId="22" fillId="10" borderId="9" xfId="0" applyNumberFormat="1" applyFont="1" applyFill="1" applyBorder="1" applyAlignment="1" applyProtection="1">
      <alignment horizontal="center" vertical="center"/>
      <protection hidden="1"/>
    </xf>
    <xf numFmtId="4" fontId="22" fillId="10" borderId="10" xfId="0" applyNumberFormat="1" applyFont="1" applyFill="1" applyBorder="1" applyAlignment="1" applyProtection="1">
      <alignment horizontal="center" vertical="center"/>
      <protection hidden="1"/>
    </xf>
    <xf numFmtId="4" fontId="22" fillId="10" borderId="11" xfId="0" applyNumberFormat="1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/>
      <protection hidden="1"/>
    </xf>
    <xf numFmtId="14" fontId="3" fillId="9" borderId="0" xfId="0" applyNumberFormat="1" applyFont="1" applyFill="1" applyAlignment="1" applyProtection="1">
      <alignment horizontal="center"/>
      <protection hidden="1"/>
    </xf>
    <xf numFmtId="0" fontId="3" fillId="9" borderId="0" xfId="0" applyFont="1" applyFill="1" applyAlignment="1" applyProtection="1">
      <alignment horizontal="center"/>
      <protection hidden="1"/>
    </xf>
    <xf numFmtId="0" fontId="3" fillId="0" borderId="0" xfId="0" applyFont="1" applyAlignment="1">
      <alignment horizontal="left"/>
    </xf>
    <xf numFmtId="0" fontId="20" fillId="6" borderId="0" xfId="0" applyFont="1" applyFill="1" applyAlignment="1" applyProtection="1">
      <alignment horizontal="right" vertical="center"/>
      <protection locked="0" hidden="1"/>
    </xf>
    <xf numFmtId="14" fontId="3" fillId="10" borderId="0" xfId="0" applyNumberFormat="1" applyFont="1" applyFill="1" applyAlignment="1" applyProtection="1">
      <alignment horizontal="left"/>
      <protection locked="0" hidden="1"/>
    </xf>
    <xf numFmtId="0" fontId="3" fillId="0" borderId="24" xfId="0" applyFont="1" applyBorder="1" applyAlignment="1" applyProtection="1">
      <alignment horizontal="left"/>
      <protection locked="0" hidden="1"/>
    </xf>
    <xf numFmtId="14" fontId="3" fillId="0" borderId="0" xfId="0" applyNumberFormat="1" applyFont="1" applyAlignment="1" applyProtection="1">
      <alignment horizontal="left"/>
      <protection locked="0" hidden="1"/>
    </xf>
    <xf numFmtId="0" fontId="3" fillId="0" borderId="24" xfId="0" applyFont="1" applyBorder="1" applyAlignment="1" applyProtection="1">
      <alignment horizontal="left"/>
      <protection hidden="1"/>
    </xf>
  </cellXfs>
  <cellStyles count="11">
    <cellStyle name="%" xfId="3" xr:uid="{00000000-0005-0000-0000-000000000000}"/>
    <cellStyle name="Comma" xfId="2" builtinId="3"/>
    <cellStyle name="Comma 2" xfId="4" xr:uid="{00000000-0005-0000-0000-000002000000}"/>
    <cellStyle name="Comma 3" xfId="7" xr:uid="{00000000-0005-0000-0000-000003000000}"/>
    <cellStyle name="Hyperlink" xfId="5" xr:uid="{00000000-0005-0000-0000-000004000000}"/>
    <cellStyle name="Normal" xfId="0" builtinId="0"/>
    <cellStyle name="Normal 2" xfId="6" xr:uid="{00000000-0005-0000-0000-000006000000}"/>
    <cellStyle name="Normal 3" xfId="8" xr:uid="{00000000-0005-0000-0000-000007000000}"/>
    <cellStyle name="Normal 3 2" xfId="9" xr:uid="{00000000-0005-0000-0000-000008000000}"/>
    <cellStyle name="Normal 3 2 2" xfId="10" xr:uid="{00000000-0005-0000-0000-000009000000}"/>
    <cellStyle name="Normal_Sheet1" xfId="1" xr:uid="{00000000-0005-0000-0000-00000A000000}"/>
  </cellStyles>
  <dxfs count="336"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fill>
        <patternFill patternType="none"/>
      </fill>
      <border>
        <left style="thin">
          <color rgb="FF000000"/>
        </left>
      </border>
    </dxf>
    <dxf>
      <fill>
        <patternFill patternType="none"/>
      </fill>
      <border>
        <left style="thin">
          <color rgb="FF000000"/>
        </left>
      </border>
    </dxf>
    <dxf>
      <fill>
        <patternFill patternType="none"/>
      </fill>
      <border>
        <left style="thin">
          <color rgb="FF000000"/>
        </left>
      </border>
    </dxf>
    <dxf>
      <fill>
        <patternFill patternType="none"/>
      </fill>
      <border>
        <left style="thin">
          <color rgb="FF000000"/>
        </left>
      </border>
    </dxf>
    <dxf>
      <fill>
        <patternFill patternType="none"/>
      </fill>
      <border>
        <left style="thin">
          <color rgb="FF000000"/>
        </left>
      </border>
    </dxf>
    <dxf>
      <fill>
        <patternFill patternType="none"/>
      </fill>
      <border>
        <left style="thin">
          <color rgb="FF000000"/>
        </left>
      </border>
    </dxf>
    <dxf>
      <fill>
        <patternFill patternType="none"/>
      </fill>
      <border>
        <left style="thin">
          <color rgb="FF000000"/>
        </left>
      </border>
    </dxf>
    <dxf>
      <fill>
        <patternFill patternType="none"/>
      </fill>
      <border>
        <left style="thin">
          <color rgb="FF000000"/>
        </left>
      </border>
    </dxf>
    <dxf>
      <fill>
        <patternFill patternType="none"/>
      </fill>
      <border>
        <left style="thin">
          <color rgb="FF000000"/>
        </left>
      </border>
    </dxf>
    <dxf>
      <fill>
        <patternFill patternType="none"/>
      </fill>
      <border>
        <left style="thin">
          <color rgb="FF000000"/>
        </left>
      </border>
    </dxf>
    <dxf>
      <fill>
        <patternFill patternType="none"/>
      </fill>
      <border>
        <left style="thin">
          <color rgb="FF000000"/>
        </left>
      </border>
    </dxf>
    <dxf>
      <fill>
        <patternFill patternType="none"/>
      </fill>
      <border>
        <left style="thin">
          <color rgb="FF000000"/>
        </left>
      </border>
    </dxf>
    <dxf>
      <fill>
        <patternFill patternType="none"/>
      </fill>
      <border>
        <left style="thin">
          <color rgb="FF000000"/>
        </left>
      </border>
    </dxf>
    <dxf>
      <fill>
        <patternFill patternType="none"/>
      </fill>
      <border>
        <left style="thin">
          <color rgb="FF000000"/>
        </left>
      </border>
    </dxf>
    <dxf>
      <fill>
        <patternFill patternType="none"/>
      </fill>
      <border>
        <left style="thin">
          <color rgb="FF000000"/>
        </left>
      </border>
    </dxf>
    <dxf>
      <fill>
        <patternFill patternType="none"/>
      </fill>
      <border>
        <left style="thin">
          <color rgb="FF000000"/>
        </left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auto="1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  <dxf>
      <border>
        <left style="thin">
          <color indexed="64"/>
        </left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KAWNOTSM01\STL%2520Performance%2520Tracker\transformation%2520trackers%25202018\Updated%2520Monthly%2520Overtime%2520template%2520-Total%2520line%25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B"/>
      <sheetName val="Line 11"/>
      <sheetName val="Line 8 OCT"/>
      <sheetName val="Line 13"/>
      <sheetName val="Line 10"/>
      <sheetName val="Line 9"/>
      <sheetName val="Sheet 2"/>
      <sheetName val=" Sheet 0"/>
      <sheetName val="line 8 nov"/>
      <sheetName val="lin 8 dec"/>
      <sheetName val="line 8 jan"/>
      <sheetName val="Sheet1"/>
      <sheetName val="Sheet2"/>
    </sheetNames>
    <sheetDataSet>
      <sheetData sheetId="0"/>
      <sheetData sheetId="1">
        <row r="5">
          <cell r="X5">
            <v>0</v>
          </cell>
        </row>
        <row r="6">
          <cell r="X6">
            <v>0</v>
          </cell>
        </row>
        <row r="7">
          <cell r="X7">
            <v>0</v>
          </cell>
        </row>
        <row r="8">
          <cell r="X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vertex42.com/ExcelTemplates/monthly-timeshee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O245"/>
  <sheetViews>
    <sheetView zoomScale="70" zoomScaleNormal="70" workbookViewId="0">
      <selection activeCell="AL21" sqref="AL21"/>
    </sheetView>
  </sheetViews>
  <sheetFormatPr defaultRowHeight="14.4"/>
  <cols>
    <col min="1" max="1" width="32.109375" bestFit="1" customWidth="1"/>
  </cols>
  <sheetData>
    <row r="2" spans="1:39">
      <c r="A2" s="21"/>
      <c r="B2" s="21"/>
      <c r="C2" s="21"/>
      <c r="D2" s="22" t="s">
        <v>366</v>
      </c>
      <c r="E2" s="22" t="s">
        <v>347</v>
      </c>
      <c r="F2" s="22" t="s">
        <v>347</v>
      </c>
      <c r="G2" s="22" t="s">
        <v>347</v>
      </c>
      <c r="H2" s="22" t="s">
        <v>347</v>
      </c>
      <c r="I2" s="22" t="s">
        <v>347</v>
      </c>
      <c r="J2" s="22" t="s">
        <v>347</v>
      </c>
      <c r="K2" s="22"/>
      <c r="L2" s="22"/>
      <c r="M2" s="22" t="s">
        <v>347</v>
      </c>
      <c r="N2" s="22" t="s">
        <v>347</v>
      </c>
      <c r="O2" s="22" t="s">
        <v>347</v>
      </c>
      <c r="P2" s="22" t="s">
        <v>347</v>
      </c>
      <c r="Q2" s="22" t="s">
        <v>347</v>
      </c>
      <c r="R2" s="22" t="s">
        <v>347</v>
      </c>
      <c r="S2" s="22" t="s">
        <v>347</v>
      </c>
      <c r="T2" s="22"/>
      <c r="U2" s="22"/>
      <c r="V2" s="22" t="s">
        <v>347</v>
      </c>
      <c r="W2" s="22" t="s">
        <v>347</v>
      </c>
      <c r="X2" s="22" t="s">
        <v>347</v>
      </c>
      <c r="Y2" s="22" t="s">
        <v>347</v>
      </c>
      <c r="Z2" s="22" t="s">
        <v>347</v>
      </c>
      <c r="AA2" s="22" t="s">
        <v>347</v>
      </c>
      <c r="AB2" s="22" t="s">
        <v>347</v>
      </c>
      <c r="AC2" s="22"/>
      <c r="AD2" s="22"/>
      <c r="AE2" s="22" t="s">
        <v>347</v>
      </c>
      <c r="AF2" s="22" t="s">
        <v>347</v>
      </c>
      <c r="AG2" s="22" t="s">
        <v>347</v>
      </c>
      <c r="AH2" s="22" t="s">
        <v>347</v>
      </c>
      <c r="AI2" s="22" t="s">
        <v>347</v>
      </c>
      <c r="AJ2" s="22" t="s">
        <v>347</v>
      </c>
      <c r="AK2" s="22" t="s">
        <v>347</v>
      </c>
      <c r="AL2" s="22"/>
      <c r="AM2" s="22"/>
    </row>
    <row r="3" spans="1:39">
      <c r="A3" s="21"/>
      <c r="B3" s="21"/>
      <c r="C3" s="21"/>
      <c r="D3" s="23">
        <v>44289</v>
      </c>
      <c r="E3" s="23">
        <v>44290</v>
      </c>
      <c r="F3" s="23">
        <v>44291</v>
      </c>
      <c r="G3" s="23">
        <v>44292</v>
      </c>
      <c r="H3" s="23">
        <v>44293</v>
      </c>
      <c r="I3" s="23">
        <v>44294</v>
      </c>
      <c r="J3" s="23">
        <v>44295</v>
      </c>
      <c r="K3" s="23"/>
      <c r="L3" s="23"/>
      <c r="M3" s="23">
        <v>44296</v>
      </c>
      <c r="N3" s="23">
        <v>44297</v>
      </c>
      <c r="O3" s="23">
        <v>44298</v>
      </c>
      <c r="P3" s="23">
        <v>44299</v>
      </c>
      <c r="Q3" s="23">
        <v>44300</v>
      </c>
      <c r="R3" s="23">
        <v>44301</v>
      </c>
      <c r="S3" s="23">
        <v>44302</v>
      </c>
      <c r="T3" s="23"/>
      <c r="U3" s="23"/>
      <c r="V3" s="23">
        <v>44303</v>
      </c>
      <c r="W3" s="23">
        <v>44304</v>
      </c>
      <c r="X3" s="23">
        <v>44305</v>
      </c>
      <c r="Y3" s="23">
        <v>44306</v>
      </c>
      <c r="Z3" s="23">
        <v>44307</v>
      </c>
      <c r="AA3" s="23">
        <v>44308</v>
      </c>
      <c r="AB3" s="23">
        <v>44309</v>
      </c>
      <c r="AC3" s="23"/>
      <c r="AD3" s="23"/>
      <c r="AE3" s="23">
        <v>44310</v>
      </c>
      <c r="AF3" s="23">
        <v>44311</v>
      </c>
      <c r="AG3" s="23">
        <v>44312</v>
      </c>
      <c r="AH3" s="23">
        <v>44313</v>
      </c>
      <c r="AI3" s="23">
        <v>44314</v>
      </c>
      <c r="AJ3" s="23">
        <v>44315</v>
      </c>
      <c r="AK3" s="23">
        <v>44316</v>
      </c>
      <c r="AL3" s="23"/>
      <c r="AM3" s="23"/>
    </row>
    <row r="4" spans="1:39" s="7" customFormat="1" ht="27.75" customHeight="1">
      <c r="A4" s="24" t="s">
        <v>0</v>
      </c>
      <c r="B4" s="24" t="s">
        <v>367</v>
      </c>
      <c r="C4" s="24" t="s">
        <v>2</v>
      </c>
      <c r="D4" s="25" t="s">
        <v>99</v>
      </c>
      <c r="E4" s="26" t="s">
        <v>100</v>
      </c>
      <c r="F4" s="26" t="s">
        <v>102</v>
      </c>
      <c r="G4" s="26" t="s">
        <v>103</v>
      </c>
      <c r="H4" s="26" t="s">
        <v>104</v>
      </c>
      <c r="I4" s="26" t="s">
        <v>105</v>
      </c>
      <c r="J4" s="27" t="s">
        <v>106</v>
      </c>
      <c r="K4" s="26" t="s">
        <v>55</v>
      </c>
      <c r="L4" s="26" t="s">
        <v>56</v>
      </c>
      <c r="M4" s="25" t="s">
        <v>99</v>
      </c>
      <c r="N4" s="25" t="s">
        <v>100</v>
      </c>
      <c r="O4" s="26" t="s">
        <v>102</v>
      </c>
      <c r="P4" s="26" t="s">
        <v>103</v>
      </c>
      <c r="Q4" s="26" t="s">
        <v>104</v>
      </c>
      <c r="R4" s="26" t="s">
        <v>105</v>
      </c>
      <c r="S4" s="27" t="s">
        <v>106</v>
      </c>
      <c r="T4" s="26" t="s">
        <v>55</v>
      </c>
      <c r="U4" s="26" t="s">
        <v>56</v>
      </c>
      <c r="V4" s="25" t="s">
        <v>99</v>
      </c>
      <c r="W4" s="25" t="s">
        <v>100</v>
      </c>
      <c r="X4" s="26" t="s">
        <v>102</v>
      </c>
      <c r="Y4" s="26" t="s">
        <v>103</v>
      </c>
      <c r="Z4" s="26" t="s">
        <v>104</v>
      </c>
      <c r="AA4" s="26" t="s">
        <v>105</v>
      </c>
      <c r="AB4" s="27" t="s">
        <v>106</v>
      </c>
      <c r="AC4" s="26" t="s">
        <v>55</v>
      </c>
      <c r="AD4" s="26" t="s">
        <v>56</v>
      </c>
      <c r="AE4" s="25" t="s">
        <v>99</v>
      </c>
      <c r="AF4" s="25" t="s">
        <v>100</v>
      </c>
      <c r="AG4" s="26" t="s">
        <v>102</v>
      </c>
      <c r="AH4" s="26" t="s">
        <v>103</v>
      </c>
      <c r="AI4" s="26" t="s">
        <v>104</v>
      </c>
      <c r="AJ4" s="26" t="s">
        <v>105</v>
      </c>
      <c r="AK4" s="27" t="s">
        <v>106</v>
      </c>
      <c r="AL4" s="26" t="s">
        <v>55</v>
      </c>
      <c r="AM4" s="26" t="s">
        <v>56</v>
      </c>
    </row>
    <row r="5" spans="1:39" s="1" customFormat="1" ht="16.5" customHeight="1">
      <c r="A5" s="31" t="s">
        <v>176</v>
      </c>
      <c r="B5" s="32">
        <v>3</v>
      </c>
      <c r="C5" s="32">
        <v>18004071</v>
      </c>
      <c r="D5" s="28">
        <v>14</v>
      </c>
      <c r="E5" s="28">
        <v>10</v>
      </c>
      <c r="F5" s="28">
        <v>0</v>
      </c>
      <c r="G5" s="28">
        <v>14</v>
      </c>
      <c r="H5" s="28">
        <v>10</v>
      </c>
      <c r="I5" s="28">
        <v>0</v>
      </c>
      <c r="J5" s="28">
        <v>14</v>
      </c>
      <c r="K5" s="29">
        <v>30</v>
      </c>
      <c r="L5" s="29">
        <v>0</v>
      </c>
      <c r="M5" s="28">
        <v>10</v>
      </c>
      <c r="N5" s="28">
        <v>0</v>
      </c>
      <c r="O5" s="28">
        <v>14</v>
      </c>
      <c r="P5" s="28">
        <v>10</v>
      </c>
      <c r="Q5" s="28">
        <v>0</v>
      </c>
      <c r="R5" s="28">
        <v>0</v>
      </c>
      <c r="S5" s="28">
        <v>7</v>
      </c>
      <c r="T5" s="29">
        <v>1</v>
      </c>
      <c r="U5" s="30">
        <v>0</v>
      </c>
      <c r="V5" s="28">
        <v>7</v>
      </c>
      <c r="W5" s="28">
        <v>7</v>
      </c>
      <c r="X5" s="28">
        <v>7</v>
      </c>
      <c r="Y5" s="28">
        <v>10</v>
      </c>
      <c r="Z5" s="28">
        <v>10</v>
      </c>
      <c r="AA5" s="28">
        <v>0</v>
      </c>
      <c r="AB5" s="28">
        <v>0</v>
      </c>
      <c r="AC5" s="29">
        <v>1</v>
      </c>
      <c r="AD5" s="30">
        <v>0</v>
      </c>
      <c r="AE5" s="28">
        <v>7</v>
      </c>
      <c r="AF5" s="28">
        <v>7</v>
      </c>
      <c r="AG5" s="28">
        <v>7</v>
      </c>
      <c r="AH5" s="28">
        <v>7</v>
      </c>
      <c r="AI5" s="28">
        <v>10</v>
      </c>
      <c r="AJ5" s="28">
        <v>10</v>
      </c>
      <c r="AK5" s="28">
        <v>0</v>
      </c>
      <c r="AL5" s="29">
        <v>8</v>
      </c>
      <c r="AM5" s="30">
        <v>0</v>
      </c>
    </row>
    <row r="6" spans="1:39" s="1" customFormat="1" ht="16.5" customHeight="1">
      <c r="A6" s="31" t="s">
        <v>133</v>
      </c>
      <c r="B6" s="32">
        <v>3</v>
      </c>
      <c r="C6" s="32">
        <v>18004357</v>
      </c>
      <c r="D6" s="28">
        <v>0</v>
      </c>
      <c r="E6" s="28">
        <v>14</v>
      </c>
      <c r="F6" s="28">
        <v>10</v>
      </c>
      <c r="G6" s="28">
        <v>0</v>
      </c>
      <c r="H6" s="28">
        <v>14</v>
      </c>
      <c r="I6" s="28">
        <v>10</v>
      </c>
      <c r="J6" s="28">
        <v>0</v>
      </c>
      <c r="K6" s="29">
        <v>6</v>
      </c>
      <c r="L6" s="29">
        <v>10</v>
      </c>
      <c r="M6" s="28">
        <v>14</v>
      </c>
      <c r="N6" s="28">
        <v>10</v>
      </c>
      <c r="O6" s="28">
        <v>0</v>
      </c>
      <c r="P6" s="28">
        <v>14</v>
      </c>
      <c r="Q6" s="28">
        <v>10</v>
      </c>
      <c r="R6" s="28">
        <v>10</v>
      </c>
      <c r="S6" s="28">
        <v>0</v>
      </c>
      <c r="T6" s="29">
        <v>18</v>
      </c>
      <c r="U6" s="30">
        <v>0</v>
      </c>
      <c r="V6" s="28">
        <v>0</v>
      </c>
      <c r="W6" s="28">
        <v>7</v>
      </c>
      <c r="X6" s="28">
        <v>7</v>
      </c>
      <c r="Y6" s="28">
        <v>7</v>
      </c>
      <c r="Z6" s="28">
        <v>7</v>
      </c>
      <c r="AA6" s="28">
        <v>10</v>
      </c>
      <c r="AB6" s="28">
        <v>10</v>
      </c>
      <c r="AC6" s="29">
        <v>8</v>
      </c>
      <c r="AD6" s="30">
        <v>0</v>
      </c>
      <c r="AE6" s="28">
        <v>0</v>
      </c>
      <c r="AF6" s="28">
        <v>0</v>
      </c>
      <c r="AG6" s="28">
        <v>7</v>
      </c>
      <c r="AH6" s="28">
        <v>7</v>
      </c>
      <c r="AI6" s="28">
        <v>7</v>
      </c>
      <c r="AJ6" s="28">
        <v>7</v>
      </c>
      <c r="AK6" s="28">
        <v>10</v>
      </c>
      <c r="AL6" s="29">
        <v>-2</v>
      </c>
      <c r="AM6" s="30">
        <v>0</v>
      </c>
    </row>
    <row r="7" spans="1:39" s="1" customFormat="1" ht="16.5" customHeight="1">
      <c r="A7" s="31" t="s">
        <v>130</v>
      </c>
      <c r="B7" s="32">
        <v>3</v>
      </c>
      <c r="C7" s="32">
        <v>18004409</v>
      </c>
      <c r="D7" s="28">
        <v>0</v>
      </c>
      <c r="E7" s="28">
        <v>0</v>
      </c>
      <c r="F7" s="28" t="s">
        <v>68</v>
      </c>
      <c r="G7" s="28" t="s">
        <v>68</v>
      </c>
      <c r="H7" s="28" t="s">
        <v>68</v>
      </c>
      <c r="I7" s="28" t="s">
        <v>68</v>
      </c>
      <c r="J7" s="28" t="s">
        <v>68</v>
      </c>
      <c r="K7" s="29">
        <v>0</v>
      </c>
      <c r="L7" s="29">
        <v>0</v>
      </c>
      <c r="M7" s="28">
        <v>0</v>
      </c>
      <c r="N7" s="28">
        <v>0</v>
      </c>
      <c r="O7" s="28" t="s">
        <v>68</v>
      </c>
      <c r="P7" s="28" t="s">
        <v>68</v>
      </c>
      <c r="Q7" s="28">
        <v>7</v>
      </c>
      <c r="R7" s="28">
        <v>7</v>
      </c>
      <c r="S7" s="28">
        <v>10</v>
      </c>
      <c r="T7" s="29">
        <v>0</v>
      </c>
      <c r="U7" s="30">
        <v>0</v>
      </c>
      <c r="V7" s="28">
        <v>10</v>
      </c>
      <c r="W7" s="28">
        <v>0</v>
      </c>
      <c r="X7" s="28">
        <v>0</v>
      </c>
      <c r="Y7" s="28">
        <v>7</v>
      </c>
      <c r="Z7" s="28">
        <v>7</v>
      </c>
      <c r="AA7" s="28">
        <v>7</v>
      </c>
      <c r="AB7" s="28">
        <v>7</v>
      </c>
      <c r="AC7" s="29">
        <v>-2</v>
      </c>
      <c r="AD7" s="30">
        <v>0</v>
      </c>
      <c r="AE7" s="28">
        <v>10</v>
      </c>
      <c r="AF7" s="28">
        <v>10</v>
      </c>
      <c r="AG7" s="28">
        <v>0</v>
      </c>
      <c r="AH7" s="28">
        <v>0</v>
      </c>
      <c r="AI7" s="28">
        <v>7</v>
      </c>
      <c r="AJ7" s="28">
        <v>7</v>
      </c>
      <c r="AK7" s="28">
        <v>7</v>
      </c>
      <c r="AL7" s="29">
        <v>1</v>
      </c>
      <c r="AM7" s="30">
        <v>0</v>
      </c>
    </row>
    <row r="8" spans="1:39" s="1" customFormat="1" ht="16.5" customHeight="1">
      <c r="A8" s="31" t="s">
        <v>136</v>
      </c>
      <c r="B8" s="32">
        <v>3</v>
      </c>
      <c r="C8" s="32">
        <v>18004523</v>
      </c>
      <c r="D8" s="28">
        <v>10</v>
      </c>
      <c r="E8" s="28">
        <v>0</v>
      </c>
      <c r="F8" s="28">
        <v>14</v>
      </c>
      <c r="G8" s="28">
        <v>10</v>
      </c>
      <c r="H8" s="28">
        <v>0</v>
      </c>
      <c r="I8" s="28">
        <v>14</v>
      </c>
      <c r="J8" s="28">
        <v>10</v>
      </c>
      <c r="K8" s="29">
        <v>12</v>
      </c>
      <c r="L8" s="29">
        <v>14</v>
      </c>
      <c r="M8" s="28">
        <v>0</v>
      </c>
      <c r="N8" s="28">
        <v>14</v>
      </c>
      <c r="O8" s="28">
        <v>10</v>
      </c>
      <c r="P8" s="28">
        <v>0</v>
      </c>
      <c r="Q8" s="28">
        <v>7</v>
      </c>
      <c r="R8" s="28">
        <v>7</v>
      </c>
      <c r="S8" s="28">
        <v>7</v>
      </c>
      <c r="T8" s="29">
        <v>5</v>
      </c>
      <c r="U8" s="30">
        <v>0</v>
      </c>
      <c r="V8" s="28">
        <v>7</v>
      </c>
      <c r="W8" s="28">
        <v>10</v>
      </c>
      <c r="X8" s="28">
        <v>10</v>
      </c>
      <c r="Y8" s="28">
        <v>0</v>
      </c>
      <c r="Z8" s="28">
        <v>0</v>
      </c>
      <c r="AA8" s="28">
        <v>7</v>
      </c>
      <c r="AB8" s="28">
        <v>7</v>
      </c>
      <c r="AC8" s="29">
        <v>1</v>
      </c>
      <c r="AD8" s="30">
        <v>0</v>
      </c>
      <c r="AE8" s="28">
        <v>7</v>
      </c>
      <c r="AF8" s="28">
        <v>7</v>
      </c>
      <c r="AG8" s="28">
        <v>10</v>
      </c>
      <c r="AH8" s="28">
        <v>10</v>
      </c>
      <c r="AI8" s="28">
        <v>0</v>
      </c>
      <c r="AJ8" s="28">
        <v>0</v>
      </c>
      <c r="AK8" s="28">
        <v>7</v>
      </c>
      <c r="AL8" s="29">
        <v>1</v>
      </c>
      <c r="AM8" s="30">
        <v>0</v>
      </c>
    </row>
    <row r="9" spans="1:39" s="1" customFormat="1" ht="16.5" customHeight="1">
      <c r="A9" s="31" t="s">
        <v>244</v>
      </c>
      <c r="B9" s="32">
        <v>3</v>
      </c>
      <c r="C9" s="32">
        <v>18004133</v>
      </c>
      <c r="D9" s="28">
        <v>7</v>
      </c>
      <c r="E9" s="28">
        <v>10</v>
      </c>
      <c r="F9" s="28">
        <v>10</v>
      </c>
      <c r="G9" s="28">
        <v>0</v>
      </c>
      <c r="H9" s="28">
        <v>0</v>
      </c>
      <c r="I9" s="28">
        <v>7</v>
      </c>
      <c r="J9" s="28">
        <v>7</v>
      </c>
      <c r="K9" s="29">
        <v>-1</v>
      </c>
      <c r="L9" s="29">
        <v>10</v>
      </c>
      <c r="M9" s="28">
        <v>7</v>
      </c>
      <c r="N9" s="28">
        <v>7</v>
      </c>
      <c r="O9" s="28">
        <v>10</v>
      </c>
      <c r="P9" s="28">
        <v>10</v>
      </c>
      <c r="Q9" s="28">
        <v>0</v>
      </c>
      <c r="R9" s="28">
        <v>0</v>
      </c>
      <c r="S9" s="28">
        <v>7</v>
      </c>
      <c r="T9" s="29">
        <v>1</v>
      </c>
      <c r="U9" s="30">
        <v>0</v>
      </c>
      <c r="V9" s="28">
        <v>7</v>
      </c>
      <c r="W9" s="28">
        <v>7</v>
      </c>
      <c r="X9" s="28">
        <v>7</v>
      </c>
      <c r="Y9" s="28">
        <v>10</v>
      </c>
      <c r="Z9" s="28">
        <v>10</v>
      </c>
      <c r="AA9" s="28">
        <v>0</v>
      </c>
      <c r="AB9" s="28">
        <v>0</v>
      </c>
      <c r="AC9" s="29">
        <v>1</v>
      </c>
      <c r="AD9" s="30">
        <v>0</v>
      </c>
      <c r="AE9" s="28">
        <v>7</v>
      </c>
      <c r="AF9" s="28">
        <v>7</v>
      </c>
      <c r="AG9" s="28">
        <v>7</v>
      </c>
      <c r="AH9" s="28">
        <v>7</v>
      </c>
      <c r="AI9" s="28">
        <v>10</v>
      </c>
      <c r="AJ9" s="28">
        <v>10</v>
      </c>
      <c r="AK9" s="28">
        <v>0</v>
      </c>
      <c r="AL9" s="29">
        <v>8</v>
      </c>
      <c r="AM9" s="30">
        <v>0</v>
      </c>
    </row>
    <row r="10" spans="1:39" s="1" customFormat="1" ht="16.5" customHeight="1">
      <c r="A10" s="31" t="s">
        <v>131</v>
      </c>
      <c r="B10" s="32">
        <v>3</v>
      </c>
      <c r="C10" s="32">
        <v>18004329</v>
      </c>
      <c r="D10" s="28">
        <v>0</v>
      </c>
      <c r="E10" s="28">
        <v>7</v>
      </c>
      <c r="F10" s="28">
        <v>7</v>
      </c>
      <c r="G10" s="28">
        <v>7</v>
      </c>
      <c r="H10" s="28">
        <v>7</v>
      </c>
      <c r="I10" s="28">
        <v>10</v>
      </c>
      <c r="J10" s="28">
        <v>10</v>
      </c>
      <c r="K10" s="29">
        <v>9</v>
      </c>
      <c r="L10" s="29">
        <v>7</v>
      </c>
      <c r="M10" s="28">
        <v>0</v>
      </c>
      <c r="N10" s="28">
        <v>0</v>
      </c>
      <c r="O10" s="28">
        <v>7</v>
      </c>
      <c r="P10" s="28">
        <v>7</v>
      </c>
      <c r="Q10" s="28">
        <v>7</v>
      </c>
      <c r="R10" s="28">
        <v>7</v>
      </c>
      <c r="S10" s="28">
        <v>10</v>
      </c>
      <c r="T10" s="29">
        <v>-2</v>
      </c>
      <c r="U10" s="30">
        <v>0</v>
      </c>
      <c r="V10" s="28">
        <v>10</v>
      </c>
      <c r="W10" s="28">
        <v>0</v>
      </c>
      <c r="X10" s="28">
        <v>0</v>
      </c>
      <c r="Y10" s="28">
        <v>7</v>
      </c>
      <c r="Z10" s="28">
        <v>7</v>
      </c>
      <c r="AA10" s="28">
        <v>7</v>
      </c>
      <c r="AB10" s="28">
        <v>7</v>
      </c>
      <c r="AC10" s="29">
        <v>-2</v>
      </c>
      <c r="AD10" s="30">
        <v>0</v>
      </c>
      <c r="AE10" s="28">
        <v>10</v>
      </c>
      <c r="AF10" s="28">
        <v>10</v>
      </c>
      <c r="AG10" s="28">
        <v>0</v>
      </c>
      <c r="AH10" s="28">
        <v>0</v>
      </c>
      <c r="AI10" s="28">
        <v>7</v>
      </c>
      <c r="AJ10" s="28">
        <v>7</v>
      </c>
      <c r="AK10" s="28">
        <v>7</v>
      </c>
      <c r="AL10" s="29">
        <v>1</v>
      </c>
      <c r="AM10" s="30">
        <v>0</v>
      </c>
    </row>
    <row r="11" spans="1:39" s="1" customFormat="1" ht="16.5" customHeight="1">
      <c r="A11" s="31" t="s">
        <v>125</v>
      </c>
      <c r="B11" s="32">
        <v>3</v>
      </c>
      <c r="C11" s="32">
        <v>18000601</v>
      </c>
      <c r="D11" s="28">
        <v>7</v>
      </c>
      <c r="E11" s="28">
        <v>7</v>
      </c>
      <c r="F11" s="28">
        <v>7</v>
      </c>
      <c r="G11" s="28">
        <v>10</v>
      </c>
      <c r="H11" s="28">
        <v>10</v>
      </c>
      <c r="I11" s="28">
        <v>0</v>
      </c>
      <c r="J11" s="28">
        <v>0</v>
      </c>
      <c r="K11" s="29">
        <v>2</v>
      </c>
      <c r="L11" s="29">
        <v>7</v>
      </c>
      <c r="M11" s="28">
        <v>7</v>
      </c>
      <c r="N11" s="28">
        <v>7</v>
      </c>
      <c r="O11" s="28">
        <v>7</v>
      </c>
      <c r="P11" s="28">
        <v>7</v>
      </c>
      <c r="Q11" s="28">
        <v>10</v>
      </c>
      <c r="R11" s="28">
        <v>10</v>
      </c>
      <c r="S11" s="28">
        <v>0</v>
      </c>
      <c r="T11" s="29">
        <v>8</v>
      </c>
      <c r="U11" s="30">
        <v>0</v>
      </c>
      <c r="V11" s="28">
        <v>0</v>
      </c>
      <c r="W11" s="28">
        <v>7</v>
      </c>
      <c r="X11" s="28">
        <v>7</v>
      </c>
      <c r="Y11" s="28">
        <v>7</v>
      </c>
      <c r="Z11" s="28">
        <v>7</v>
      </c>
      <c r="AA11" s="28">
        <v>10</v>
      </c>
      <c r="AB11" s="28">
        <v>10</v>
      </c>
      <c r="AC11" s="29">
        <v>8</v>
      </c>
      <c r="AD11" s="30">
        <v>0</v>
      </c>
      <c r="AE11" s="28">
        <v>0</v>
      </c>
      <c r="AF11" s="28">
        <v>0</v>
      </c>
      <c r="AG11" s="28">
        <v>7</v>
      </c>
      <c r="AH11" s="28">
        <v>7</v>
      </c>
      <c r="AI11" s="28">
        <v>7</v>
      </c>
      <c r="AJ11" s="28">
        <v>7</v>
      </c>
      <c r="AK11" s="28">
        <v>10</v>
      </c>
      <c r="AL11" s="29">
        <v>-2</v>
      </c>
      <c r="AM11" s="30">
        <v>0</v>
      </c>
    </row>
    <row r="12" spans="1:39" s="1" customFormat="1" ht="16.5" customHeight="1">
      <c r="A12" s="31" t="s">
        <v>138</v>
      </c>
      <c r="B12" s="32">
        <v>3</v>
      </c>
      <c r="C12" s="32">
        <v>18004443</v>
      </c>
      <c r="D12" s="28">
        <v>10</v>
      </c>
      <c r="E12" s="28">
        <v>0</v>
      </c>
      <c r="F12" s="28">
        <v>0</v>
      </c>
      <c r="G12" s="28">
        <v>7</v>
      </c>
      <c r="H12" s="28">
        <v>7</v>
      </c>
      <c r="I12" s="28">
        <v>7</v>
      </c>
      <c r="J12" s="28">
        <v>7</v>
      </c>
      <c r="K12" s="29">
        <v>6</v>
      </c>
      <c r="L12" s="29">
        <v>0</v>
      </c>
      <c r="M12" s="28">
        <v>10</v>
      </c>
      <c r="N12" s="28">
        <v>10</v>
      </c>
      <c r="O12" s="28">
        <v>0</v>
      </c>
      <c r="P12" s="28">
        <v>0</v>
      </c>
      <c r="Q12" s="28">
        <v>7</v>
      </c>
      <c r="R12" s="28">
        <v>7</v>
      </c>
      <c r="S12" s="28">
        <v>7</v>
      </c>
      <c r="T12" s="29">
        <v>1</v>
      </c>
      <c r="U12" s="30">
        <v>0</v>
      </c>
      <c r="V12" s="28">
        <v>7</v>
      </c>
      <c r="W12" s="28">
        <v>10</v>
      </c>
      <c r="X12" s="28">
        <v>10</v>
      </c>
      <c r="Y12" s="28">
        <v>0</v>
      </c>
      <c r="Z12" s="28">
        <v>0</v>
      </c>
      <c r="AA12" s="28">
        <v>7</v>
      </c>
      <c r="AB12" s="28">
        <v>7</v>
      </c>
      <c r="AC12" s="29">
        <v>1</v>
      </c>
      <c r="AD12" s="30">
        <v>0</v>
      </c>
      <c r="AE12" s="28">
        <v>7</v>
      </c>
      <c r="AF12" s="28">
        <v>7</v>
      </c>
      <c r="AG12" s="28">
        <v>10</v>
      </c>
      <c r="AH12" s="28">
        <v>10</v>
      </c>
      <c r="AI12" s="28">
        <v>0</v>
      </c>
      <c r="AJ12" s="28">
        <v>0</v>
      </c>
      <c r="AK12" s="28">
        <v>7</v>
      </c>
      <c r="AL12" s="29">
        <v>1</v>
      </c>
      <c r="AM12" s="30">
        <v>0</v>
      </c>
    </row>
    <row r="13" spans="1:39" s="1" customFormat="1" ht="16.5" customHeight="1">
      <c r="A13" s="31" t="s">
        <v>134</v>
      </c>
      <c r="B13" s="32">
        <v>3</v>
      </c>
      <c r="C13" s="32">
        <v>18004252</v>
      </c>
      <c r="D13" s="28">
        <v>10</v>
      </c>
      <c r="E13" s="28">
        <v>0</v>
      </c>
      <c r="F13" s="28">
        <v>14</v>
      </c>
      <c r="G13" s="28">
        <v>10</v>
      </c>
      <c r="H13" s="28">
        <v>10</v>
      </c>
      <c r="I13" s="28">
        <v>0</v>
      </c>
      <c r="J13" s="28">
        <v>0</v>
      </c>
      <c r="K13" s="29">
        <v>-2</v>
      </c>
      <c r="L13" s="29">
        <v>14</v>
      </c>
      <c r="M13" s="28">
        <v>7</v>
      </c>
      <c r="N13" s="28">
        <v>7</v>
      </c>
      <c r="O13" s="28" t="s">
        <v>68</v>
      </c>
      <c r="P13" s="28" t="s">
        <v>68</v>
      </c>
      <c r="Q13" s="28" t="s">
        <v>68</v>
      </c>
      <c r="R13" s="28" t="s">
        <v>68</v>
      </c>
      <c r="S13" s="28" t="s">
        <v>68</v>
      </c>
      <c r="T13" s="29">
        <v>14</v>
      </c>
      <c r="U13" s="30">
        <v>0</v>
      </c>
      <c r="V13" s="28">
        <v>0</v>
      </c>
      <c r="W13" s="28">
        <v>0</v>
      </c>
      <c r="X13" s="28" t="s">
        <v>68</v>
      </c>
      <c r="Y13" s="28" t="s">
        <v>68</v>
      </c>
      <c r="Z13" s="28" t="s">
        <v>68</v>
      </c>
      <c r="AA13" s="28" t="s">
        <v>68</v>
      </c>
      <c r="AB13" s="28" t="s">
        <v>68</v>
      </c>
      <c r="AC13" s="29">
        <v>0</v>
      </c>
      <c r="AD13" s="30">
        <v>0</v>
      </c>
      <c r="AE13" s="28">
        <v>0</v>
      </c>
      <c r="AF13" s="28">
        <v>0</v>
      </c>
      <c r="AG13" s="28">
        <v>14</v>
      </c>
      <c r="AH13" s="28">
        <v>10</v>
      </c>
      <c r="AI13" s="28">
        <v>0</v>
      </c>
      <c r="AJ13" s="28">
        <v>14</v>
      </c>
      <c r="AK13" s="28">
        <v>10</v>
      </c>
      <c r="AL13" s="29">
        <v>8</v>
      </c>
      <c r="AM13" s="30">
        <v>0</v>
      </c>
    </row>
    <row r="14" spans="1:39" s="1" customFormat="1" ht="16.5" customHeight="1">
      <c r="A14" s="31" t="s">
        <v>137</v>
      </c>
      <c r="B14" s="32">
        <v>3</v>
      </c>
      <c r="C14" s="32">
        <v>18004314</v>
      </c>
      <c r="D14" s="28">
        <v>14</v>
      </c>
      <c r="E14" s="28">
        <v>10</v>
      </c>
      <c r="F14" s="28">
        <v>0</v>
      </c>
      <c r="G14" s="28">
        <v>7</v>
      </c>
      <c r="H14" s="28">
        <v>7</v>
      </c>
      <c r="I14" s="28">
        <v>10</v>
      </c>
      <c r="J14" s="28">
        <v>10</v>
      </c>
      <c r="K14" s="29">
        <v>26</v>
      </c>
      <c r="L14" s="29">
        <v>0</v>
      </c>
      <c r="M14" s="28">
        <v>0</v>
      </c>
      <c r="N14" s="28">
        <v>0</v>
      </c>
      <c r="O14" s="28">
        <v>14</v>
      </c>
      <c r="P14" s="28">
        <v>10</v>
      </c>
      <c r="Q14" s="28">
        <v>0</v>
      </c>
      <c r="R14" s="28">
        <v>14</v>
      </c>
      <c r="S14" s="28">
        <v>10</v>
      </c>
      <c r="T14" s="29">
        <v>8</v>
      </c>
      <c r="U14" s="30">
        <v>0</v>
      </c>
      <c r="V14" s="28">
        <v>0</v>
      </c>
      <c r="W14" s="28">
        <v>14</v>
      </c>
      <c r="X14" s="28">
        <v>10</v>
      </c>
      <c r="Y14" s="28">
        <v>0</v>
      </c>
      <c r="Z14" s="28">
        <v>14</v>
      </c>
      <c r="AA14" s="28">
        <v>10</v>
      </c>
      <c r="AB14" s="28">
        <v>0</v>
      </c>
      <c r="AC14" s="29">
        <v>8</v>
      </c>
      <c r="AD14" s="30">
        <v>0</v>
      </c>
      <c r="AE14" s="28">
        <v>14</v>
      </c>
      <c r="AF14" s="28">
        <v>10</v>
      </c>
      <c r="AG14" s="28">
        <v>0</v>
      </c>
      <c r="AH14" s="28">
        <v>14</v>
      </c>
      <c r="AI14" s="28">
        <v>10</v>
      </c>
      <c r="AJ14" s="28">
        <v>0</v>
      </c>
      <c r="AK14" s="28">
        <v>14</v>
      </c>
      <c r="AL14" s="29">
        <v>22</v>
      </c>
      <c r="AM14" s="30">
        <v>0</v>
      </c>
    </row>
    <row r="15" spans="1:39" s="1" customFormat="1" ht="16.5" customHeight="1">
      <c r="A15" s="31" t="s">
        <v>319</v>
      </c>
      <c r="B15" s="32">
        <v>3</v>
      </c>
      <c r="C15" s="32">
        <v>18008453</v>
      </c>
      <c r="D15" s="28">
        <v>0</v>
      </c>
      <c r="E15" s="28">
        <v>0</v>
      </c>
      <c r="F15" s="28" t="s">
        <v>68</v>
      </c>
      <c r="G15" s="28">
        <v>7</v>
      </c>
      <c r="H15" s="28">
        <v>7</v>
      </c>
      <c r="I15" s="28">
        <v>7</v>
      </c>
      <c r="J15" s="28">
        <v>7</v>
      </c>
      <c r="K15" s="29">
        <v>-4</v>
      </c>
      <c r="L15" s="29">
        <v>0</v>
      </c>
      <c r="M15" s="28">
        <v>10</v>
      </c>
      <c r="N15" s="28">
        <v>10</v>
      </c>
      <c r="O15" s="28">
        <v>0</v>
      </c>
      <c r="P15" s="28">
        <v>14</v>
      </c>
      <c r="Q15" s="28">
        <v>10</v>
      </c>
      <c r="R15" s="28">
        <v>0</v>
      </c>
      <c r="S15" s="28">
        <v>14</v>
      </c>
      <c r="T15" s="29">
        <v>18</v>
      </c>
      <c r="U15" s="30">
        <v>0</v>
      </c>
      <c r="V15" s="28">
        <v>10</v>
      </c>
      <c r="W15" s="28">
        <v>0</v>
      </c>
      <c r="X15" s="28">
        <v>14</v>
      </c>
      <c r="Y15" s="28">
        <v>10</v>
      </c>
      <c r="Z15" s="28">
        <v>0</v>
      </c>
      <c r="AA15" s="28">
        <v>14</v>
      </c>
      <c r="AB15" s="28">
        <v>10</v>
      </c>
      <c r="AC15" s="29">
        <v>18</v>
      </c>
      <c r="AD15" s="30">
        <v>0</v>
      </c>
      <c r="AE15" s="28">
        <v>0</v>
      </c>
      <c r="AF15" s="28">
        <v>14</v>
      </c>
      <c r="AG15" s="28">
        <v>10</v>
      </c>
      <c r="AH15" s="28">
        <v>0</v>
      </c>
      <c r="AI15" s="28">
        <v>14</v>
      </c>
      <c r="AJ15" s="28">
        <v>10</v>
      </c>
      <c r="AK15" s="28">
        <v>0</v>
      </c>
      <c r="AL15" s="29">
        <v>8</v>
      </c>
      <c r="AM15" s="30">
        <v>0</v>
      </c>
    </row>
    <row r="16" spans="1:39" s="1" customFormat="1" ht="16.5" customHeight="1">
      <c r="A16" s="31" t="s">
        <v>318</v>
      </c>
      <c r="B16" s="32">
        <v>3</v>
      </c>
      <c r="C16" s="32">
        <v>18008456</v>
      </c>
      <c r="D16" s="28">
        <v>0</v>
      </c>
      <c r="E16" s="28">
        <v>14</v>
      </c>
      <c r="F16" s="28">
        <v>10</v>
      </c>
      <c r="G16" s="28">
        <v>0</v>
      </c>
      <c r="H16" s="28">
        <v>0</v>
      </c>
      <c r="I16" s="28">
        <v>7</v>
      </c>
      <c r="J16" s="28">
        <v>7</v>
      </c>
      <c r="K16" s="29">
        <v>-4</v>
      </c>
      <c r="L16" s="29">
        <v>10</v>
      </c>
      <c r="M16" s="28">
        <v>7</v>
      </c>
      <c r="N16" s="28">
        <v>7</v>
      </c>
      <c r="O16" s="28">
        <v>10</v>
      </c>
      <c r="P16" s="28">
        <v>0</v>
      </c>
      <c r="Q16" s="28">
        <v>14</v>
      </c>
      <c r="R16" s="28">
        <v>10</v>
      </c>
      <c r="S16" s="28">
        <v>0</v>
      </c>
      <c r="T16" s="29">
        <v>8</v>
      </c>
      <c r="U16" s="30">
        <v>0</v>
      </c>
      <c r="V16" s="28">
        <v>14</v>
      </c>
      <c r="W16" s="28">
        <v>10</v>
      </c>
      <c r="X16" s="28">
        <v>0</v>
      </c>
      <c r="Y16" s="28">
        <v>14</v>
      </c>
      <c r="Z16" s="28">
        <v>10</v>
      </c>
      <c r="AA16" s="28">
        <v>0</v>
      </c>
      <c r="AB16" s="28">
        <v>14</v>
      </c>
      <c r="AC16" s="29">
        <v>22</v>
      </c>
      <c r="AD16" s="30">
        <v>0</v>
      </c>
      <c r="AE16" s="28">
        <v>10</v>
      </c>
      <c r="AF16" s="28">
        <v>0</v>
      </c>
      <c r="AG16" s="28" t="s">
        <v>68</v>
      </c>
      <c r="AH16" s="28" t="s">
        <v>68</v>
      </c>
      <c r="AI16" s="28" t="s">
        <v>68</v>
      </c>
      <c r="AJ16" s="28" t="s">
        <v>68</v>
      </c>
      <c r="AK16" s="28" t="s">
        <v>68</v>
      </c>
      <c r="AL16" s="29">
        <v>10</v>
      </c>
      <c r="AM16" s="30">
        <v>0</v>
      </c>
    </row>
    <row r="17" spans="1:39" s="1" customFormat="1" ht="16.5" customHeight="1">
      <c r="A17" s="31" t="s">
        <v>108</v>
      </c>
      <c r="B17" s="32">
        <v>3</v>
      </c>
      <c r="C17" s="32">
        <v>18008088</v>
      </c>
      <c r="D17" s="28">
        <v>10</v>
      </c>
      <c r="E17" s="28">
        <v>0</v>
      </c>
      <c r="F17" s="28">
        <v>0</v>
      </c>
      <c r="G17" s="28">
        <v>7</v>
      </c>
      <c r="H17" s="28">
        <v>7</v>
      </c>
      <c r="I17" s="28">
        <v>7</v>
      </c>
      <c r="J17" s="28">
        <v>7</v>
      </c>
      <c r="K17" s="29">
        <v>6</v>
      </c>
      <c r="L17" s="29">
        <v>0</v>
      </c>
      <c r="M17" s="28">
        <v>10</v>
      </c>
      <c r="N17" s="28">
        <v>10</v>
      </c>
      <c r="O17" s="28">
        <v>0</v>
      </c>
      <c r="P17" s="28">
        <v>0</v>
      </c>
      <c r="Q17" s="28">
        <v>7</v>
      </c>
      <c r="R17" s="28">
        <v>7</v>
      </c>
      <c r="S17" s="28">
        <v>7</v>
      </c>
      <c r="T17" s="29">
        <v>1</v>
      </c>
      <c r="U17" s="30">
        <v>0</v>
      </c>
      <c r="V17" s="28">
        <v>7</v>
      </c>
      <c r="W17" s="28">
        <v>10</v>
      </c>
      <c r="X17" s="28">
        <v>10</v>
      </c>
      <c r="Y17" s="28">
        <v>0</v>
      </c>
      <c r="Z17" s="28">
        <v>0</v>
      </c>
      <c r="AA17" s="28">
        <v>7</v>
      </c>
      <c r="AB17" s="28">
        <v>7</v>
      </c>
      <c r="AC17" s="29">
        <v>1</v>
      </c>
      <c r="AD17" s="30">
        <v>0</v>
      </c>
      <c r="AE17" s="28">
        <v>7</v>
      </c>
      <c r="AF17" s="28">
        <v>7</v>
      </c>
      <c r="AG17" s="28">
        <v>10</v>
      </c>
      <c r="AH17" s="28">
        <v>10</v>
      </c>
      <c r="AI17" s="28">
        <v>0</v>
      </c>
      <c r="AJ17" s="28">
        <v>0</v>
      </c>
      <c r="AK17" s="28">
        <v>7</v>
      </c>
      <c r="AL17" s="29">
        <v>1</v>
      </c>
      <c r="AM17" s="30">
        <v>0</v>
      </c>
    </row>
    <row r="18" spans="1:39" s="1" customFormat="1" ht="16.5" customHeight="1">
      <c r="A18" s="31" t="s">
        <v>107</v>
      </c>
      <c r="B18" s="32">
        <v>3</v>
      </c>
      <c r="C18" s="32">
        <v>18008107</v>
      </c>
      <c r="D18" s="28">
        <v>0</v>
      </c>
      <c r="E18" s="28">
        <v>7</v>
      </c>
      <c r="F18" s="28">
        <v>7</v>
      </c>
      <c r="G18" s="28">
        <v>7</v>
      </c>
      <c r="H18" s="28">
        <v>7</v>
      </c>
      <c r="I18" s="28">
        <v>10</v>
      </c>
      <c r="J18" s="28">
        <v>10</v>
      </c>
      <c r="K18" s="29">
        <v>9</v>
      </c>
      <c r="L18" s="29">
        <v>7</v>
      </c>
      <c r="M18" s="28">
        <v>0</v>
      </c>
      <c r="N18" s="28">
        <v>0</v>
      </c>
      <c r="O18" s="28">
        <v>7</v>
      </c>
      <c r="P18" s="28">
        <v>7</v>
      </c>
      <c r="Q18" s="28">
        <v>7</v>
      </c>
      <c r="R18" s="28">
        <v>7</v>
      </c>
      <c r="S18" s="28">
        <v>10</v>
      </c>
      <c r="T18" s="29">
        <v>-2</v>
      </c>
      <c r="U18" s="30">
        <v>0</v>
      </c>
      <c r="V18" s="28">
        <v>10</v>
      </c>
      <c r="W18" s="28">
        <v>0</v>
      </c>
      <c r="X18" s="28">
        <v>0</v>
      </c>
      <c r="Y18" s="28">
        <v>7</v>
      </c>
      <c r="Z18" s="28">
        <v>7</v>
      </c>
      <c r="AA18" s="28">
        <v>7</v>
      </c>
      <c r="AB18" s="28">
        <v>7</v>
      </c>
      <c r="AC18" s="29">
        <v>-2</v>
      </c>
      <c r="AD18" s="30">
        <v>0</v>
      </c>
      <c r="AE18" s="28">
        <v>10</v>
      </c>
      <c r="AF18" s="28">
        <v>10</v>
      </c>
      <c r="AG18" s="28">
        <v>0</v>
      </c>
      <c r="AH18" s="28">
        <v>0</v>
      </c>
      <c r="AI18" s="28">
        <v>7</v>
      </c>
      <c r="AJ18" s="28">
        <v>7</v>
      </c>
      <c r="AK18" s="28">
        <v>7</v>
      </c>
      <c r="AL18" s="29">
        <v>1</v>
      </c>
      <c r="AM18" s="30">
        <v>0</v>
      </c>
    </row>
    <row r="19" spans="1:39" s="1" customFormat="1" ht="16.5" customHeight="1">
      <c r="A19" s="31" t="s">
        <v>316</v>
      </c>
      <c r="B19" s="32">
        <v>3</v>
      </c>
      <c r="C19" s="32">
        <v>18008465</v>
      </c>
      <c r="D19" s="28">
        <v>7</v>
      </c>
      <c r="E19" s="28">
        <v>7</v>
      </c>
      <c r="F19" s="28">
        <v>7</v>
      </c>
      <c r="G19" s="28">
        <v>10</v>
      </c>
      <c r="H19" s="28">
        <v>10</v>
      </c>
      <c r="I19" s="28">
        <v>0</v>
      </c>
      <c r="J19" s="28">
        <v>0</v>
      </c>
      <c r="K19" s="29">
        <v>2</v>
      </c>
      <c r="L19" s="29">
        <v>7</v>
      </c>
      <c r="M19" s="28">
        <v>7</v>
      </c>
      <c r="N19" s="28">
        <v>7</v>
      </c>
      <c r="O19" s="28">
        <v>7</v>
      </c>
      <c r="P19" s="28">
        <v>7</v>
      </c>
      <c r="Q19" s="28">
        <v>10</v>
      </c>
      <c r="R19" s="28">
        <v>10</v>
      </c>
      <c r="S19" s="28">
        <v>0</v>
      </c>
      <c r="T19" s="29">
        <v>8</v>
      </c>
      <c r="U19" s="30">
        <v>0</v>
      </c>
      <c r="V19" s="28">
        <v>0</v>
      </c>
      <c r="W19" s="28">
        <v>7</v>
      </c>
      <c r="X19" s="28">
        <v>7</v>
      </c>
      <c r="Y19" s="28">
        <v>7</v>
      </c>
      <c r="Z19" s="28">
        <v>7</v>
      </c>
      <c r="AA19" s="28">
        <v>10</v>
      </c>
      <c r="AB19" s="28">
        <v>10</v>
      </c>
      <c r="AC19" s="29">
        <v>8</v>
      </c>
      <c r="AD19" s="30">
        <v>0</v>
      </c>
      <c r="AE19" s="28">
        <v>0</v>
      </c>
      <c r="AF19" s="28">
        <v>0</v>
      </c>
      <c r="AG19" s="28">
        <v>7</v>
      </c>
      <c r="AH19" s="28">
        <v>7</v>
      </c>
      <c r="AI19" s="28">
        <v>7</v>
      </c>
      <c r="AJ19" s="28">
        <v>7</v>
      </c>
      <c r="AK19" s="28">
        <v>10</v>
      </c>
      <c r="AL19" s="29">
        <v>-2</v>
      </c>
      <c r="AM19" s="30">
        <v>0</v>
      </c>
    </row>
    <row r="20" spans="1:39" s="1" customFormat="1" ht="16.5" customHeight="1">
      <c r="A20" s="31" t="s">
        <v>317</v>
      </c>
      <c r="B20" s="32">
        <v>3</v>
      </c>
      <c r="C20" s="32">
        <v>18008451</v>
      </c>
      <c r="D20" s="28">
        <v>7</v>
      </c>
      <c r="E20" s="28">
        <v>10</v>
      </c>
      <c r="F20" s="28">
        <v>10</v>
      </c>
      <c r="G20" s="28">
        <v>0</v>
      </c>
      <c r="H20" s="28">
        <v>0</v>
      </c>
      <c r="I20" s="28">
        <v>7</v>
      </c>
      <c r="J20" s="28">
        <v>7</v>
      </c>
      <c r="K20" s="29">
        <v>-1</v>
      </c>
      <c r="L20" s="29">
        <v>10</v>
      </c>
      <c r="M20" s="28">
        <v>7</v>
      </c>
      <c r="N20" s="28">
        <v>7</v>
      </c>
      <c r="O20" s="28">
        <v>10</v>
      </c>
      <c r="P20" s="28">
        <v>10</v>
      </c>
      <c r="Q20" s="28">
        <v>0</v>
      </c>
      <c r="R20" s="28">
        <v>0</v>
      </c>
      <c r="S20" s="28">
        <v>7</v>
      </c>
      <c r="T20" s="29">
        <v>1</v>
      </c>
      <c r="U20" s="30">
        <v>0</v>
      </c>
      <c r="V20" s="28">
        <v>7</v>
      </c>
      <c r="W20" s="28">
        <v>7</v>
      </c>
      <c r="X20" s="28">
        <v>7</v>
      </c>
      <c r="Y20" s="28">
        <v>10</v>
      </c>
      <c r="Z20" s="28">
        <v>10</v>
      </c>
      <c r="AA20" s="28">
        <v>0</v>
      </c>
      <c r="AB20" s="28">
        <v>0</v>
      </c>
      <c r="AC20" s="29">
        <v>1</v>
      </c>
      <c r="AD20" s="30">
        <v>0</v>
      </c>
      <c r="AE20" s="28">
        <v>7</v>
      </c>
      <c r="AF20" s="28">
        <v>7</v>
      </c>
      <c r="AG20" s="28">
        <v>7</v>
      </c>
      <c r="AH20" s="28">
        <v>7</v>
      </c>
      <c r="AI20" s="28">
        <v>10</v>
      </c>
      <c r="AJ20" s="28">
        <v>10</v>
      </c>
      <c r="AK20" s="28">
        <v>0</v>
      </c>
      <c r="AL20" s="29">
        <v>8</v>
      </c>
      <c r="AM20" s="30">
        <v>0</v>
      </c>
    </row>
    <row r="21" spans="1:39" s="1" customFormat="1" ht="16.5" customHeight="1">
      <c r="A21" s="31" t="s">
        <v>343</v>
      </c>
      <c r="B21" s="32">
        <v>3</v>
      </c>
      <c r="C21" s="32">
        <v>18004264</v>
      </c>
      <c r="D21" s="28">
        <v>10</v>
      </c>
      <c r="E21" s="28">
        <v>10</v>
      </c>
      <c r="F21" s="28" t="s">
        <v>328</v>
      </c>
      <c r="G21" s="28" t="s">
        <v>328</v>
      </c>
      <c r="H21" s="28" t="s">
        <v>328</v>
      </c>
      <c r="I21" s="28">
        <v>10</v>
      </c>
      <c r="J21" s="28">
        <v>10</v>
      </c>
      <c r="K21" s="29">
        <v>24</v>
      </c>
      <c r="L21" s="29">
        <v>0</v>
      </c>
      <c r="M21" s="28">
        <v>0</v>
      </c>
      <c r="N21" s="28">
        <v>0</v>
      </c>
      <c r="O21" s="28" t="s">
        <v>328</v>
      </c>
      <c r="P21" s="28" t="s">
        <v>328</v>
      </c>
      <c r="Q21" s="28" t="s">
        <v>328</v>
      </c>
      <c r="R21" s="28" t="s">
        <v>328</v>
      </c>
      <c r="S21" s="28" t="s">
        <v>328</v>
      </c>
      <c r="T21" s="29">
        <v>0</v>
      </c>
      <c r="U21" s="30">
        <v>0</v>
      </c>
      <c r="V21" s="28">
        <v>0</v>
      </c>
      <c r="W21" s="28">
        <v>0</v>
      </c>
      <c r="X21" s="28" t="s">
        <v>328</v>
      </c>
      <c r="Y21" s="28" t="s">
        <v>328</v>
      </c>
      <c r="Z21" s="28" t="s">
        <v>328</v>
      </c>
      <c r="AA21" s="28" t="s">
        <v>328</v>
      </c>
      <c r="AB21" s="28" t="s">
        <v>328</v>
      </c>
      <c r="AC21" s="29">
        <v>0</v>
      </c>
      <c r="AD21" s="30">
        <v>0</v>
      </c>
      <c r="AE21" s="28">
        <v>0</v>
      </c>
      <c r="AF21" s="28">
        <v>0</v>
      </c>
      <c r="AG21" s="28" t="s">
        <v>328</v>
      </c>
      <c r="AH21" s="28" t="s">
        <v>328</v>
      </c>
      <c r="AI21" s="28" t="s">
        <v>328</v>
      </c>
      <c r="AJ21" s="28" t="s">
        <v>328</v>
      </c>
      <c r="AK21" s="28" t="s">
        <v>328</v>
      </c>
      <c r="AL21" s="29">
        <v>0</v>
      </c>
      <c r="AM21" s="30">
        <v>0</v>
      </c>
    </row>
    <row r="22" spans="1:39" s="1" customFormat="1" ht="16.5" customHeight="1">
      <c r="A22" s="31" t="s">
        <v>271</v>
      </c>
      <c r="B22" s="32">
        <v>3</v>
      </c>
      <c r="C22" s="32">
        <v>18004089</v>
      </c>
      <c r="D22" s="28">
        <v>0</v>
      </c>
      <c r="E22" s="28">
        <v>0</v>
      </c>
      <c r="F22" s="28" t="s">
        <v>328</v>
      </c>
      <c r="G22" s="28" t="s">
        <v>328</v>
      </c>
      <c r="H22" s="28" t="s">
        <v>328</v>
      </c>
      <c r="I22" s="28" t="s">
        <v>328</v>
      </c>
      <c r="J22" s="28" t="s">
        <v>328</v>
      </c>
      <c r="K22" s="29">
        <v>0</v>
      </c>
      <c r="L22" s="29">
        <v>0</v>
      </c>
      <c r="M22" s="28">
        <v>0</v>
      </c>
      <c r="N22" s="28">
        <v>0</v>
      </c>
      <c r="O22" s="28" t="s">
        <v>328</v>
      </c>
      <c r="P22" s="28" t="s">
        <v>328</v>
      </c>
      <c r="Q22" s="28" t="s">
        <v>328</v>
      </c>
      <c r="R22" s="28" t="s">
        <v>328</v>
      </c>
      <c r="S22" s="28" t="s">
        <v>328</v>
      </c>
      <c r="T22" s="29">
        <v>0</v>
      </c>
      <c r="U22" s="30">
        <v>0</v>
      </c>
      <c r="V22" s="28">
        <v>0</v>
      </c>
      <c r="W22" s="28">
        <v>0</v>
      </c>
      <c r="X22" s="28" t="s">
        <v>328</v>
      </c>
      <c r="Y22" s="28" t="s">
        <v>328</v>
      </c>
      <c r="Z22" s="28" t="s">
        <v>328</v>
      </c>
      <c r="AA22" s="28" t="s">
        <v>328</v>
      </c>
      <c r="AB22" s="28" t="s">
        <v>328</v>
      </c>
      <c r="AC22" s="29">
        <v>0</v>
      </c>
      <c r="AD22" s="30">
        <v>0</v>
      </c>
      <c r="AE22" s="28">
        <v>0</v>
      </c>
      <c r="AF22" s="28">
        <v>0</v>
      </c>
      <c r="AG22" s="28" t="s">
        <v>328</v>
      </c>
      <c r="AH22" s="28" t="s">
        <v>328</v>
      </c>
      <c r="AI22" s="28" t="s">
        <v>328</v>
      </c>
      <c r="AJ22" s="28" t="s">
        <v>328</v>
      </c>
      <c r="AK22" s="28" t="s">
        <v>328</v>
      </c>
      <c r="AL22" s="29">
        <v>0</v>
      </c>
      <c r="AM22" s="30">
        <v>0</v>
      </c>
    </row>
    <row r="23" spans="1:39" s="1" customFormat="1" ht="16.5" customHeight="1">
      <c r="A23" s="31" t="s">
        <v>151</v>
      </c>
      <c r="B23" s="32">
        <v>4</v>
      </c>
      <c r="C23" s="32">
        <v>18004099</v>
      </c>
      <c r="D23" s="28">
        <v>10</v>
      </c>
      <c r="E23" s="28">
        <v>0</v>
      </c>
      <c r="F23" s="28">
        <v>0</v>
      </c>
      <c r="G23" s="28">
        <v>7</v>
      </c>
      <c r="H23" s="28">
        <v>7</v>
      </c>
      <c r="I23" s="28">
        <v>7</v>
      </c>
      <c r="J23" s="28">
        <v>7</v>
      </c>
      <c r="K23" s="29">
        <v>6</v>
      </c>
      <c r="L23" s="29">
        <v>0</v>
      </c>
      <c r="M23" s="28">
        <v>10</v>
      </c>
      <c r="N23" s="28">
        <v>10</v>
      </c>
      <c r="O23" s="28" t="s">
        <v>85</v>
      </c>
      <c r="P23" s="28" t="s">
        <v>85</v>
      </c>
      <c r="Q23" s="28">
        <v>7</v>
      </c>
      <c r="R23" s="28">
        <v>7</v>
      </c>
      <c r="S23" s="28">
        <v>7</v>
      </c>
      <c r="T23" s="29">
        <v>1</v>
      </c>
      <c r="U23" s="30">
        <v>0</v>
      </c>
      <c r="V23" s="28">
        <v>7</v>
      </c>
      <c r="W23" s="28">
        <v>10</v>
      </c>
      <c r="X23" s="28">
        <v>10</v>
      </c>
      <c r="Y23" s="28" t="s">
        <v>85</v>
      </c>
      <c r="Z23" s="28" t="s">
        <v>85</v>
      </c>
      <c r="AA23" s="28">
        <v>7</v>
      </c>
      <c r="AB23" s="28">
        <v>7</v>
      </c>
      <c r="AC23" s="29">
        <v>1</v>
      </c>
      <c r="AD23" s="30">
        <v>0</v>
      </c>
      <c r="AE23" s="28">
        <v>7</v>
      </c>
      <c r="AF23" s="28">
        <v>7</v>
      </c>
      <c r="AG23" s="28">
        <v>10</v>
      </c>
      <c r="AH23" s="28">
        <v>10</v>
      </c>
      <c r="AI23" s="28" t="s">
        <v>85</v>
      </c>
      <c r="AJ23" s="28" t="s">
        <v>85</v>
      </c>
      <c r="AK23" s="28">
        <v>7</v>
      </c>
      <c r="AL23" s="29">
        <v>1</v>
      </c>
      <c r="AM23" s="30">
        <v>0</v>
      </c>
    </row>
    <row r="24" spans="1:39" s="1" customFormat="1" ht="16.5" customHeight="1">
      <c r="A24" s="31" t="s">
        <v>144</v>
      </c>
      <c r="B24" s="32">
        <v>4</v>
      </c>
      <c r="C24" s="32">
        <v>18004316</v>
      </c>
      <c r="D24" s="28">
        <v>7</v>
      </c>
      <c r="E24" s="28">
        <v>10</v>
      </c>
      <c r="F24" s="28">
        <v>10</v>
      </c>
      <c r="G24" s="28" t="s">
        <v>85</v>
      </c>
      <c r="H24" s="28" t="s">
        <v>85</v>
      </c>
      <c r="I24" s="28">
        <v>7</v>
      </c>
      <c r="J24" s="28">
        <v>7</v>
      </c>
      <c r="K24" s="29">
        <v>-1</v>
      </c>
      <c r="L24" s="29">
        <v>10</v>
      </c>
      <c r="M24" s="28">
        <v>7</v>
      </c>
      <c r="N24" s="28">
        <v>7</v>
      </c>
      <c r="O24" s="28">
        <v>10</v>
      </c>
      <c r="P24" s="28">
        <v>10</v>
      </c>
      <c r="Q24" s="28" t="s">
        <v>85</v>
      </c>
      <c r="R24" s="28" t="s">
        <v>85</v>
      </c>
      <c r="S24" s="28">
        <v>7</v>
      </c>
      <c r="T24" s="29">
        <v>1</v>
      </c>
      <c r="U24" s="30">
        <v>0</v>
      </c>
      <c r="V24" s="28">
        <v>7</v>
      </c>
      <c r="W24" s="28">
        <v>7</v>
      </c>
      <c r="X24" s="28">
        <v>7</v>
      </c>
      <c r="Y24" s="28">
        <v>10</v>
      </c>
      <c r="Z24" s="28">
        <v>10</v>
      </c>
      <c r="AA24" s="28" t="s">
        <v>85</v>
      </c>
      <c r="AB24" s="28" t="s">
        <v>85</v>
      </c>
      <c r="AC24" s="29">
        <v>1</v>
      </c>
      <c r="AD24" s="30">
        <v>0</v>
      </c>
      <c r="AE24" s="28">
        <v>7</v>
      </c>
      <c r="AF24" s="28">
        <v>7</v>
      </c>
      <c r="AG24" s="28">
        <v>7</v>
      </c>
      <c r="AH24" s="28">
        <v>7</v>
      </c>
      <c r="AI24" s="28">
        <v>10</v>
      </c>
      <c r="AJ24" s="28">
        <v>10</v>
      </c>
      <c r="AK24" s="28" t="s">
        <v>85</v>
      </c>
      <c r="AL24" s="29">
        <v>8</v>
      </c>
      <c r="AM24" s="30">
        <v>0</v>
      </c>
    </row>
    <row r="25" spans="1:39" s="1" customFormat="1" ht="16.5" customHeight="1">
      <c r="A25" s="31" t="s">
        <v>145</v>
      </c>
      <c r="B25" s="32">
        <v>4</v>
      </c>
      <c r="C25" s="32">
        <v>18004342</v>
      </c>
      <c r="D25" s="28" t="s">
        <v>85</v>
      </c>
      <c r="E25" s="28">
        <v>7</v>
      </c>
      <c r="F25" s="28">
        <v>7</v>
      </c>
      <c r="G25" s="28">
        <v>7</v>
      </c>
      <c r="H25" s="28">
        <v>7</v>
      </c>
      <c r="I25" s="28">
        <v>10</v>
      </c>
      <c r="J25" s="28">
        <v>10</v>
      </c>
      <c r="K25" s="29">
        <v>9</v>
      </c>
      <c r="L25" s="29">
        <v>7</v>
      </c>
      <c r="M25" s="28" t="s">
        <v>85</v>
      </c>
      <c r="N25" s="28" t="s">
        <v>84</v>
      </c>
      <c r="O25" s="28">
        <v>7</v>
      </c>
      <c r="P25" s="28">
        <v>7</v>
      </c>
      <c r="Q25" s="28">
        <v>7</v>
      </c>
      <c r="R25" s="28">
        <v>7</v>
      </c>
      <c r="S25" s="28">
        <v>10</v>
      </c>
      <c r="T25" s="29">
        <v>-2</v>
      </c>
      <c r="U25" s="30">
        <v>0</v>
      </c>
      <c r="V25" s="28">
        <v>10</v>
      </c>
      <c r="W25" s="28" t="s">
        <v>85</v>
      </c>
      <c r="X25" s="28" t="s">
        <v>85</v>
      </c>
      <c r="Y25" s="28">
        <v>7</v>
      </c>
      <c r="Z25" s="28">
        <v>7</v>
      </c>
      <c r="AA25" s="28">
        <v>7</v>
      </c>
      <c r="AB25" s="28">
        <v>7</v>
      </c>
      <c r="AC25" s="29">
        <v>-2</v>
      </c>
      <c r="AD25" s="30">
        <v>0</v>
      </c>
      <c r="AE25" s="28">
        <v>10</v>
      </c>
      <c r="AF25" s="28">
        <v>10</v>
      </c>
      <c r="AG25" s="28" t="s">
        <v>85</v>
      </c>
      <c r="AH25" s="28" t="s">
        <v>85</v>
      </c>
      <c r="AI25" s="28">
        <v>7</v>
      </c>
      <c r="AJ25" s="28">
        <v>7</v>
      </c>
      <c r="AK25" s="28">
        <v>7</v>
      </c>
      <c r="AL25" s="29">
        <v>1</v>
      </c>
      <c r="AM25" s="30">
        <v>0</v>
      </c>
    </row>
    <row r="26" spans="1:39" s="1" customFormat="1" ht="16.5" customHeight="1">
      <c r="A26" s="31" t="s">
        <v>146</v>
      </c>
      <c r="B26" s="32">
        <v>4</v>
      </c>
      <c r="C26" s="32">
        <v>18004562</v>
      </c>
      <c r="D26" s="28">
        <v>7</v>
      </c>
      <c r="E26" s="28">
        <v>7</v>
      </c>
      <c r="F26" s="28">
        <v>7</v>
      </c>
      <c r="G26" s="28">
        <v>10</v>
      </c>
      <c r="H26" s="28">
        <v>10</v>
      </c>
      <c r="I26" s="28" t="s">
        <v>85</v>
      </c>
      <c r="J26" s="28" t="s">
        <v>85</v>
      </c>
      <c r="K26" s="29">
        <v>2</v>
      </c>
      <c r="L26" s="29">
        <v>7</v>
      </c>
      <c r="M26" s="28">
        <v>7</v>
      </c>
      <c r="N26" s="28">
        <v>7</v>
      </c>
      <c r="O26" s="28">
        <v>7</v>
      </c>
      <c r="P26" s="28">
        <v>7</v>
      </c>
      <c r="Q26" s="28">
        <v>10</v>
      </c>
      <c r="R26" s="28">
        <v>10</v>
      </c>
      <c r="S26" s="28" t="s">
        <v>85</v>
      </c>
      <c r="T26" s="29">
        <v>8</v>
      </c>
      <c r="U26" s="30">
        <v>0</v>
      </c>
      <c r="V26" s="28" t="s">
        <v>85</v>
      </c>
      <c r="W26" s="28">
        <v>7</v>
      </c>
      <c r="X26" s="28">
        <v>7</v>
      </c>
      <c r="Y26" s="28">
        <v>7</v>
      </c>
      <c r="Z26" s="28">
        <v>7</v>
      </c>
      <c r="AA26" s="28">
        <v>10</v>
      </c>
      <c r="AB26" s="28">
        <v>10</v>
      </c>
      <c r="AC26" s="29">
        <v>8</v>
      </c>
      <c r="AD26" s="30">
        <v>0</v>
      </c>
      <c r="AE26" s="28" t="s">
        <v>85</v>
      </c>
      <c r="AF26" s="28" t="s">
        <v>85</v>
      </c>
      <c r="AG26" s="28">
        <v>7</v>
      </c>
      <c r="AH26" s="28">
        <v>7</v>
      </c>
      <c r="AI26" s="28">
        <v>7</v>
      </c>
      <c r="AJ26" s="28">
        <v>7</v>
      </c>
      <c r="AK26" s="28">
        <v>10</v>
      </c>
      <c r="AL26" s="29">
        <v>-2</v>
      </c>
      <c r="AM26" s="30">
        <v>0</v>
      </c>
    </row>
    <row r="27" spans="1:39" s="1" customFormat="1" ht="16.5" customHeight="1">
      <c r="A27" s="31" t="s">
        <v>139</v>
      </c>
      <c r="B27" s="32">
        <v>4</v>
      </c>
      <c r="C27" s="32">
        <v>18004075</v>
      </c>
      <c r="D27" s="28" t="s">
        <v>85</v>
      </c>
      <c r="E27" s="28">
        <v>7</v>
      </c>
      <c r="F27" s="28">
        <v>7</v>
      </c>
      <c r="G27" s="28">
        <v>7</v>
      </c>
      <c r="H27" s="28">
        <v>7</v>
      </c>
      <c r="I27" s="28">
        <v>10</v>
      </c>
      <c r="J27" s="28">
        <v>10</v>
      </c>
      <c r="K27" s="29">
        <v>9</v>
      </c>
      <c r="L27" s="29">
        <v>7</v>
      </c>
      <c r="M27" s="28" t="s">
        <v>85</v>
      </c>
      <c r="N27" s="28" t="s">
        <v>84</v>
      </c>
      <c r="O27" s="28">
        <v>7</v>
      </c>
      <c r="P27" s="28">
        <v>7</v>
      </c>
      <c r="Q27" s="28">
        <v>7</v>
      </c>
      <c r="R27" s="28">
        <v>7</v>
      </c>
      <c r="S27" s="28">
        <v>10</v>
      </c>
      <c r="T27" s="29">
        <v>-2</v>
      </c>
      <c r="U27" s="30">
        <v>0</v>
      </c>
      <c r="V27" s="28">
        <v>10</v>
      </c>
      <c r="W27" s="28" t="s">
        <v>85</v>
      </c>
      <c r="X27" s="28" t="s">
        <v>85</v>
      </c>
      <c r="Y27" s="28">
        <v>7</v>
      </c>
      <c r="Z27" s="28">
        <v>7</v>
      </c>
      <c r="AA27" s="28">
        <v>7</v>
      </c>
      <c r="AB27" s="28">
        <v>7</v>
      </c>
      <c r="AC27" s="29">
        <v>-2</v>
      </c>
      <c r="AD27" s="30">
        <v>0</v>
      </c>
      <c r="AE27" s="28">
        <v>10</v>
      </c>
      <c r="AF27" s="28">
        <v>10</v>
      </c>
      <c r="AG27" s="28" t="s">
        <v>85</v>
      </c>
      <c r="AH27" s="28" t="s">
        <v>85</v>
      </c>
      <c r="AI27" s="28">
        <v>7</v>
      </c>
      <c r="AJ27" s="28">
        <v>7</v>
      </c>
      <c r="AK27" s="28">
        <v>7</v>
      </c>
      <c r="AL27" s="29">
        <v>1</v>
      </c>
      <c r="AM27" s="30">
        <v>0</v>
      </c>
    </row>
    <row r="28" spans="1:39" s="1" customFormat="1" ht="16.5" customHeight="1">
      <c r="A28" s="31" t="s">
        <v>141</v>
      </c>
      <c r="B28" s="32">
        <v>4</v>
      </c>
      <c r="C28" s="32">
        <v>18004173</v>
      </c>
      <c r="D28" s="28">
        <v>7</v>
      </c>
      <c r="E28" s="28">
        <v>10</v>
      </c>
      <c r="F28" s="28">
        <v>10</v>
      </c>
      <c r="G28" s="28" t="s">
        <v>85</v>
      </c>
      <c r="H28" s="28" t="s">
        <v>85</v>
      </c>
      <c r="I28" s="28">
        <v>7</v>
      </c>
      <c r="J28" s="28">
        <v>7</v>
      </c>
      <c r="K28" s="29">
        <v>-1</v>
      </c>
      <c r="L28" s="29">
        <v>10</v>
      </c>
      <c r="M28" s="28">
        <v>7</v>
      </c>
      <c r="N28" s="28">
        <v>7</v>
      </c>
      <c r="O28" s="28">
        <v>10</v>
      </c>
      <c r="P28" s="28">
        <v>10</v>
      </c>
      <c r="Q28" s="28" t="s">
        <v>85</v>
      </c>
      <c r="R28" s="28" t="s">
        <v>85</v>
      </c>
      <c r="S28" s="28">
        <v>7</v>
      </c>
      <c r="T28" s="29">
        <v>1</v>
      </c>
      <c r="U28" s="30">
        <v>0</v>
      </c>
      <c r="V28" s="28">
        <v>7</v>
      </c>
      <c r="W28" s="28">
        <v>7</v>
      </c>
      <c r="X28" s="28">
        <v>7</v>
      </c>
      <c r="Y28" s="28">
        <v>10</v>
      </c>
      <c r="Z28" s="28">
        <v>10</v>
      </c>
      <c r="AA28" s="28" t="s">
        <v>85</v>
      </c>
      <c r="AB28" s="28" t="s">
        <v>85</v>
      </c>
      <c r="AC28" s="29">
        <v>1</v>
      </c>
      <c r="AD28" s="30">
        <v>0</v>
      </c>
      <c r="AE28" s="28">
        <v>7</v>
      </c>
      <c r="AF28" s="28">
        <v>7</v>
      </c>
      <c r="AG28" s="28">
        <v>7</v>
      </c>
      <c r="AH28" s="28">
        <v>7</v>
      </c>
      <c r="AI28" s="28">
        <v>10</v>
      </c>
      <c r="AJ28" s="28">
        <v>10</v>
      </c>
      <c r="AK28" s="28" t="s">
        <v>85</v>
      </c>
      <c r="AL28" s="29">
        <v>8</v>
      </c>
      <c r="AM28" s="30">
        <v>0</v>
      </c>
    </row>
    <row r="29" spans="1:39" s="1" customFormat="1" ht="16.5" customHeight="1">
      <c r="A29" s="31" t="s">
        <v>142</v>
      </c>
      <c r="B29" s="32">
        <v>4</v>
      </c>
      <c r="C29" s="32">
        <v>18004184</v>
      </c>
      <c r="D29" s="28">
        <v>7</v>
      </c>
      <c r="E29" s="28">
        <v>7</v>
      </c>
      <c r="F29" s="28">
        <v>7</v>
      </c>
      <c r="G29" s="28">
        <v>10</v>
      </c>
      <c r="H29" s="28">
        <v>10</v>
      </c>
      <c r="I29" s="28" t="s">
        <v>69</v>
      </c>
      <c r="J29" s="28" t="s">
        <v>85</v>
      </c>
      <c r="K29" s="29">
        <v>2</v>
      </c>
      <c r="L29" s="29">
        <v>7</v>
      </c>
      <c r="M29" s="28">
        <v>7</v>
      </c>
      <c r="N29" s="28">
        <v>7</v>
      </c>
      <c r="O29" s="28">
        <v>7</v>
      </c>
      <c r="P29" s="28">
        <v>7</v>
      </c>
      <c r="Q29" s="28">
        <v>10</v>
      </c>
      <c r="R29" s="28">
        <v>10</v>
      </c>
      <c r="S29" s="28" t="s">
        <v>85</v>
      </c>
      <c r="T29" s="29">
        <v>8</v>
      </c>
      <c r="U29" s="30">
        <v>0</v>
      </c>
      <c r="V29" s="28" t="s">
        <v>85</v>
      </c>
      <c r="W29" s="28">
        <v>7</v>
      </c>
      <c r="X29" s="28">
        <v>7</v>
      </c>
      <c r="Y29" s="28">
        <v>7</v>
      </c>
      <c r="Z29" s="28">
        <v>7</v>
      </c>
      <c r="AA29" s="28">
        <v>10</v>
      </c>
      <c r="AB29" s="28">
        <v>10</v>
      </c>
      <c r="AC29" s="29">
        <v>8</v>
      </c>
      <c r="AD29" s="30">
        <v>0</v>
      </c>
      <c r="AE29" s="28" t="s">
        <v>85</v>
      </c>
      <c r="AF29" s="28" t="s">
        <v>85</v>
      </c>
      <c r="AG29" s="28">
        <v>7</v>
      </c>
      <c r="AH29" s="28">
        <v>7</v>
      </c>
      <c r="AI29" s="28">
        <v>7</v>
      </c>
      <c r="AJ29" s="28">
        <v>7</v>
      </c>
      <c r="AK29" s="28">
        <v>10</v>
      </c>
      <c r="AL29" s="29">
        <v>-2</v>
      </c>
      <c r="AM29" s="30">
        <v>0</v>
      </c>
    </row>
    <row r="30" spans="1:39" s="1" customFormat="1" ht="16.5" customHeight="1">
      <c r="A30" s="31" t="s">
        <v>140</v>
      </c>
      <c r="B30" s="32">
        <v>4</v>
      </c>
      <c r="C30" s="32">
        <v>18004223</v>
      </c>
      <c r="D30" s="28">
        <v>7</v>
      </c>
      <c r="E30" s="28" t="s">
        <v>85</v>
      </c>
      <c r="F30" s="28" t="s">
        <v>85</v>
      </c>
      <c r="G30" s="28">
        <v>7</v>
      </c>
      <c r="H30" s="28">
        <v>7</v>
      </c>
      <c r="I30" s="28">
        <v>7</v>
      </c>
      <c r="J30" s="28">
        <v>7</v>
      </c>
      <c r="K30" s="29">
        <v>3</v>
      </c>
      <c r="L30" s="29">
        <v>0</v>
      </c>
      <c r="M30" s="28">
        <v>10</v>
      </c>
      <c r="N30" s="28">
        <v>10</v>
      </c>
      <c r="O30" s="28" t="s">
        <v>85</v>
      </c>
      <c r="P30" s="28" t="s">
        <v>85</v>
      </c>
      <c r="Q30" s="28">
        <v>7</v>
      </c>
      <c r="R30" s="28">
        <v>7</v>
      </c>
      <c r="S30" s="28">
        <v>7</v>
      </c>
      <c r="T30" s="29">
        <v>1</v>
      </c>
      <c r="U30" s="30">
        <v>0</v>
      </c>
      <c r="V30" s="28">
        <v>7</v>
      </c>
      <c r="W30" s="28">
        <v>10</v>
      </c>
      <c r="X30" s="28">
        <v>10</v>
      </c>
      <c r="Y30" s="28" t="s">
        <v>85</v>
      </c>
      <c r="Z30" s="28" t="s">
        <v>85</v>
      </c>
      <c r="AA30" s="28">
        <v>7</v>
      </c>
      <c r="AB30" s="28">
        <v>7</v>
      </c>
      <c r="AC30" s="29">
        <v>1</v>
      </c>
      <c r="AD30" s="30">
        <v>0</v>
      </c>
      <c r="AE30" s="28">
        <v>7</v>
      </c>
      <c r="AF30" s="28">
        <v>7</v>
      </c>
      <c r="AG30" s="28">
        <v>10</v>
      </c>
      <c r="AH30" s="28">
        <v>10</v>
      </c>
      <c r="AI30" s="28" t="s">
        <v>85</v>
      </c>
      <c r="AJ30" s="28" t="s">
        <v>85</v>
      </c>
      <c r="AK30" s="28">
        <v>7</v>
      </c>
      <c r="AL30" s="29">
        <v>1</v>
      </c>
      <c r="AM30" s="30">
        <v>0</v>
      </c>
    </row>
    <row r="31" spans="1:39" s="1" customFormat="1" ht="16.5" customHeight="1">
      <c r="A31" s="31" t="s">
        <v>147</v>
      </c>
      <c r="B31" s="32">
        <v>4</v>
      </c>
      <c r="C31" s="32">
        <v>18004079</v>
      </c>
      <c r="D31" s="28">
        <v>7</v>
      </c>
      <c r="E31" s="28">
        <v>10</v>
      </c>
      <c r="F31" s="28">
        <v>10</v>
      </c>
      <c r="G31" s="28" t="s">
        <v>85</v>
      </c>
      <c r="H31" s="28">
        <v>10</v>
      </c>
      <c r="I31" s="28" t="s">
        <v>69</v>
      </c>
      <c r="J31" s="28">
        <v>14</v>
      </c>
      <c r="K31" s="29">
        <v>9</v>
      </c>
      <c r="L31" s="29">
        <v>10</v>
      </c>
      <c r="M31" s="28">
        <v>10</v>
      </c>
      <c r="N31" s="28" t="s">
        <v>84</v>
      </c>
      <c r="O31" s="28">
        <v>14</v>
      </c>
      <c r="P31" s="28">
        <v>10</v>
      </c>
      <c r="Q31" s="28" t="s">
        <v>85</v>
      </c>
      <c r="R31" s="28">
        <v>14</v>
      </c>
      <c r="S31" s="28">
        <v>10</v>
      </c>
      <c r="T31" s="29">
        <v>18</v>
      </c>
      <c r="U31" s="30">
        <v>0</v>
      </c>
      <c r="V31" s="28" t="s">
        <v>85</v>
      </c>
      <c r="W31" s="28">
        <v>14</v>
      </c>
      <c r="X31" s="28">
        <v>10</v>
      </c>
      <c r="Y31" s="28" t="s">
        <v>85</v>
      </c>
      <c r="Z31" s="28" t="s">
        <v>85</v>
      </c>
      <c r="AA31" s="28">
        <v>7</v>
      </c>
      <c r="AB31" s="28">
        <v>7</v>
      </c>
      <c r="AC31" s="29">
        <v>-2</v>
      </c>
      <c r="AD31" s="30">
        <v>0</v>
      </c>
      <c r="AE31" s="28">
        <v>7</v>
      </c>
      <c r="AF31" s="28">
        <v>7</v>
      </c>
      <c r="AG31" s="28">
        <v>10</v>
      </c>
      <c r="AH31" s="28">
        <v>10</v>
      </c>
      <c r="AI31" s="28" t="s">
        <v>85</v>
      </c>
      <c r="AJ31" s="28" t="s">
        <v>85</v>
      </c>
      <c r="AK31" s="28">
        <v>7</v>
      </c>
      <c r="AL31" s="29">
        <v>1</v>
      </c>
      <c r="AM31" s="30">
        <v>0</v>
      </c>
    </row>
    <row r="32" spans="1:39" s="1" customFormat="1" ht="16.5" customHeight="1">
      <c r="A32" s="31" t="s">
        <v>148</v>
      </c>
      <c r="B32" s="32">
        <v>4</v>
      </c>
      <c r="C32" s="32">
        <v>18004140</v>
      </c>
      <c r="D32" s="28">
        <v>7</v>
      </c>
      <c r="E32" s="28">
        <v>7</v>
      </c>
      <c r="F32" s="28" t="s">
        <v>85</v>
      </c>
      <c r="G32" s="28" t="s">
        <v>68</v>
      </c>
      <c r="H32" s="28" t="s">
        <v>68</v>
      </c>
      <c r="I32" s="28" t="s">
        <v>68</v>
      </c>
      <c r="J32" s="28" t="s">
        <v>68</v>
      </c>
      <c r="K32" s="29">
        <v>14</v>
      </c>
      <c r="L32" s="29">
        <v>0</v>
      </c>
      <c r="M32" s="28" t="s">
        <v>68</v>
      </c>
      <c r="N32" s="28" t="s">
        <v>68</v>
      </c>
      <c r="O32" s="28" t="s">
        <v>68</v>
      </c>
      <c r="P32" s="28" t="s">
        <v>68</v>
      </c>
      <c r="Q32" s="28" t="s">
        <v>68</v>
      </c>
      <c r="R32" s="28" t="s">
        <v>68</v>
      </c>
      <c r="S32" s="28" t="s">
        <v>68</v>
      </c>
      <c r="T32" s="29">
        <v>0</v>
      </c>
      <c r="U32" s="30">
        <v>0</v>
      </c>
      <c r="V32" s="28" t="s">
        <v>68</v>
      </c>
      <c r="W32" s="28" t="s">
        <v>68</v>
      </c>
      <c r="X32" s="28" t="s">
        <v>68</v>
      </c>
      <c r="Y32" s="28">
        <v>7</v>
      </c>
      <c r="Z32" s="28">
        <v>7</v>
      </c>
      <c r="AA32" s="28">
        <v>10</v>
      </c>
      <c r="AB32" s="28">
        <v>10</v>
      </c>
      <c r="AC32" s="29">
        <v>2</v>
      </c>
      <c r="AD32" s="30">
        <v>0</v>
      </c>
      <c r="AE32" s="28" t="s">
        <v>85</v>
      </c>
      <c r="AF32" s="28" t="s">
        <v>85</v>
      </c>
      <c r="AG32" s="28">
        <v>7</v>
      </c>
      <c r="AH32" s="28">
        <v>7</v>
      </c>
      <c r="AI32" s="28">
        <v>7</v>
      </c>
      <c r="AJ32" s="28">
        <v>7</v>
      </c>
      <c r="AK32" s="28">
        <v>10</v>
      </c>
      <c r="AL32" s="29">
        <v>-2</v>
      </c>
      <c r="AM32" s="30">
        <v>0</v>
      </c>
    </row>
    <row r="33" spans="1:39" s="1" customFormat="1" ht="16.5" customHeight="1">
      <c r="A33" s="31" t="s">
        <v>150</v>
      </c>
      <c r="B33" s="32">
        <v>4</v>
      </c>
      <c r="C33" s="32">
        <v>18004439</v>
      </c>
      <c r="D33" s="28" t="s">
        <v>85</v>
      </c>
      <c r="E33" s="28">
        <v>7</v>
      </c>
      <c r="F33" s="28">
        <v>7</v>
      </c>
      <c r="G33" s="28">
        <v>10</v>
      </c>
      <c r="H33" s="28" t="s">
        <v>85</v>
      </c>
      <c r="I33" s="28">
        <v>14</v>
      </c>
      <c r="J33" s="28">
        <v>10</v>
      </c>
      <c r="K33" s="29">
        <v>9</v>
      </c>
      <c r="L33" s="29">
        <v>7</v>
      </c>
      <c r="M33" s="28" t="s">
        <v>85</v>
      </c>
      <c r="N33" s="28">
        <v>14</v>
      </c>
      <c r="O33" s="28">
        <v>10</v>
      </c>
      <c r="P33" s="28" t="s">
        <v>85</v>
      </c>
      <c r="Q33" s="28">
        <v>14</v>
      </c>
      <c r="R33" s="28">
        <v>10</v>
      </c>
      <c r="S33" s="28" t="s">
        <v>85</v>
      </c>
      <c r="T33" s="29">
        <v>8</v>
      </c>
      <c r="U33" s="30">
        <v>0</v>
      </c>
      <c r="V33" s="28">
        <v>14</v>
      </c>
      <c r="W33" s="28">
        <v>10</v>
      </c>
      <c r="X33" s="28" t="s">
        <v>85</v>
      </c>
      <c r="Y33" s="28">
        <v>7</v>
      </c>
      <c r="Z33" s="28">
        <v>7</v>
      </c>
      <c r="AA33" s="28">
        <v>7</v>
      </c>
      <c r="AB33" s="28">
        <v>7</v>
      </c>
      <c r="AC33" s="29">
        <v>12</v>
      </c>
      <c r="AD33" s="30">
        <v>0</v>
      </c>
      <c r="AE33" s="28">
        <v>10</v>
      </c>
      <c r="AF33" s="28">
        <v>10</v>
      </c>
      <c r="AG33" s="28" t="s">
        <v>85</v>
      </c>
      <c r="AH33" s="28" t="s">
        <v>85</v>
      </c>
      <c r="AI33" s="28">
        <v>7</v>
      </c>
      <c r="AJ33" s="28">
        <v>7</v>
      </c>
      <c r="AK33" s="28">
        <v>7</v>
      </c>
      <c r="AL33" s="29">
        <v>1</v>
      </c>
      <c r="AM33" s="30">
        <v>0</v>
      </c>
    </row>
    <row r="34" spans="1:39" s="1" customFormat="1" ht="16.5" customHeight="1">
      <c r="A34" s="31" t="s">
        <v>149</v>
      </c>
      <c r="B34" s="32">
        <v>4</v>
      </c>
      <c r="C34" s="32">
        <v>18004564</v>
      </c>
      <c r="D34" s="28">
        <v>10</v>
      </c>
      <c r="E34" s="28" t="s">
        <v>85</v>
      </c>
      <c r="F34" s="28" t="s">
        <v>85</v>
      </c>
      <c r="G34" s="28">
        <v>14</v>
      </c>
      <c r="H34" s="28">
        <v>14</v>
      </c>
      <c r="I34" s="28">
        <v>10</v>
      </c>
      <c r="J34" s="28" t="s">
        <v>85</v>
      </c>
      <c r="K34" s="29">
        <v>16</v>
      </c>
      <c r="L34" s="29">
        <v>0</v>
      </c>
      <c r="M34" s="28">
        <v>14</v>
      </c>
      <c r="N34" s="28">
        <v>10</v>
      </c>
      <c r="O34" s="28" t="s">
        <v>85</v>
      </c>
      <c r="P34" s="28">
        <v>14</v>
      </c>
      <c r="Q34" s="28">
        <v>10</v>
      </c>
      <c r="R34" s="28" t="s">
        <v>85</v>
      </c>
      <c r="S34" s="28">
        <v>14</v>
      </c>
      <c r="T34" s="29">
        <v>22</v>
      </c>
      <c r="U34" s="30">
        <v>0</v>
      </c>
      <c r="V34" s="28">
        <v>10</v>
      </c>
      <c r="W34" s="28" t="s">
        <v>85</v>
      </c>
      <c r="X34" s="28">
        <v>14</v>
      </c>
      <c r="Y34" s="28">
        <v>10</v>
      </c>
      <c r="Z34" s="28">
        <v>10</v>
      </c>
      <c r="AA34" s="28" t="s">
        <v>85</v>
      </c>
      <c r="AB34" s="28" t="s">
        <v>85</v>
      </c>
      <c r="AC34" s="29">
        <v>4</v>
      </c>
      <c r="AD34" s="30">
        <v>0</v>
      </c>
      <c r="AE34" s="28">
        <v>7</v>
      </c>
      <c r="AF34" s="28">
        <v>7</v>
      </c>
      <c r="AG34" s="28">
        <v>7</v>
      </c>
      <c r="AH34" s="28">
        <v>7</v>
      </c>
      <c r="AI34" s="28">
        <v>10</v>
      </c>
      <c r="AJ34" s="28">
        <v>10</v>
      </c>
      <c r="AK34" s="28" t="s">
        <v>85</v>
      </c>
      <c r="AL34" s="29">
        <v>8</v>
      </c>
      <c r="AM34" s="30">
        <v>0</v>
      </c>
    </row>
    <row r="35" spans="1:39" s="1" customFormat="1" ht="16.5" customHeight="1">
      <c r="A35" s="31" t="s">
        <v>6</v>
      </c>
      <c r="B35" s="32">
        <v>4</v>
      </c>
      <c r="C35" s="32">
        <v>18007020</v>
      </c>
      <c r="D35" s="28">
        <v>14</v>
      </c>
      <c r="E35" s="28">
        <v>7</v>
      </c>
      <c r="F35" s="28">
        <v>10</v>
      </c>
      <c r="G35" s="28">
        <v>10</v>
      </c>
      <c r="H35" s="28" t="s">
        <v>85</v>
      </c>
      <c r="I35" s="28" t="s">
        <v>69</v>
      </c>
      <c r="J35" s="28">
        <v>7</v>
      </c>
      <c r="K35" s="29">
        <v>6</v>
      </c>
      <c r="L35" s="29">
        <v>10</v>
      </c>
      <c r="M35" s="28">
        <v>14</v>
      </c>
      <c r="N35" s="28">
        <v>10</v>
      </c>
      <c r="O35" s="28">
        <v>10</v>
      </c>
      <c r="P35" s="28" t="s">
        <v>85</v>
      </c>
      <c r="Q35" s="28" t="s">
        <v>85</v>
      </c>
      <c r="R35" s="28">
        <v>7</v>
      </c>
      <c r="S35" s="28">
        <v>7</v>
      </c>
      <c r="T35" s="29">
        <v>8</v>
      </c>
      <c r="U35" s="30">
        <v>0</v>
      </c>
      <c r="V35" s="28">
        <v>10</v>
      </c>
      <c r="W35" s="28">
        <v>10</v>
      </c>
      <c r="X35" s="28" t="s">
        <v>85</v>
      </c>
      <c r="Y35" s="28" t="s">
        <v>85</v>
      </c>
      <c r="Z35" s="28">
        <v>7</v>
      </c>
      <c r="AA35" s="28">
        <v>7</v>
      </c>
      <c r="AB35" s="28">
        <v>10</v>
      </c>
      <c r="AC35" s="29">
        <v>4</v>
      </c>
      <c r="AD35" s="30">
        <v>0</v>
      </c>
      <c r="AE35" s="28">
        <v>10</v>
      </c>
      <c r="AF35" s="28" t="s">
        <v>85</v>
      </c>
      <c r="AG35" s="28" t="s">
        <v>85</v>
      </c>
      <c r="AH35" s="28">
        <v>7</v>
      </c>
      <c r="AI35" s="28">
        <v>7</v>
      </c>
      <c r="AJ35" s="28">
        <v>10</v>
      </c>
      <c r="AK35" s="28">
        <v>10</v>
      </c>
      <c r="AL35" s="29">
        <v>4</v>
      </c>
      <c r="AM35" s="30">
        <v>0</v>
      </c>
    </row>
    <row r="36" spans="1:39" s="1" customFormat="1" ht="16.5" customHeight="1">
      <c r="A36" s="31" t="s">
        <v>3</v>
      </c>
      <c r="B36" s="32">
        <v>4</v>
      </c>
      <c r="C36" s="32">
        <v>18006993</v>
      </c>
      <c r="D36" s="28">
        <v>10</v>
      </c>
      <c r="E36" s="28">
        <v>10</v>
      </c>
      <c r="F36" s="28" t="s">
        <v>85</v>
      </c>
      <c r="G36" s="28" t="s">
        <v>85</v>
      </c>
      <c r="H36" s="28">
        <v>7</v>
      </c>
      <c r="I36" s="28">
        <v>7</v>
      </c>
      <c r="J36" s="28">
        <v>10</v>
      </c>
      <c r="K36" s="29">
        <v>12</v>
      </c>
      <c r="L36" s="29">
        <v>0</v>
      </c>
      <c r="M36" s="28">
        <v>10</v>
      </c>
      <c r="N36" s="28" t="s">
        <v>84</v>
      </c>
      <c r="O36" s="28" t="s">
        <v>85</v>
      </c>
      <c r="P36" s="28">
        <v>7</v>
      </c>
      <c r="Q36" s="28">
        <v>7</v>
      </c>
      <c r="R36" s="28">
        <v>10</v>
      </c>
      <c r="S36" s="28">
        <v>10</v>
      </c>
      <c r="T36" s="29">
        <v>4</v>
      </c>
      <c r="U36" s="30">
        <v>0</v>
      </c>
      <c r="V36" s="28" t="s">
        <v>85</v>
      </c>
      <c r="W36" s="28" t="s">
        <v>85</v>
      </c>
      <c r="X36" s="28">
        <v>7</v>
      </c>
      <c r="Y36" s="28">
        <v>7</v>
      </c>
      <c r="Z36" s="28">
        <v>10</v>
      </c>
      <c r="AA36" s="28">
        <v>10</v>
      </c>
      <c r="AB36" s="28" t="s">
        <v>85</v>
      </c>
      <c r="AC36" s="29">
        <v>-6</v>
      </c>
      <c r="AD36" s="30">
        <v>0</v>
      </c>
      <c r="AE36" s="28" t="s">
        <v>85</v>
      </c>
      <c r="AF36" s="28">
        <v>7</v>
      </c>
      <c r="AG36" s="28">
        <v>7</v>
      </c>
      <c r="AH36" s="28">
        <v>10</v>
      </c>
      <c r="AI36" s="28">
        <v>10</v>
      </c>
      <c r="AJ36" s="28" t="s">
        <v>85</v>
      </c>
      <c r="AK36" s="28" t="s">
        <v>85</v>
      </c>
      <c r="AL36" s="29">
        <v>-6</v>
      </c>
      <c r="AM36" s="30">
        <v>0</v>
      </c>
    </row>
    <row r="37" spans="1:39" s="1" customFormat="1" ht="16.5" customHeight="1">
      <c r="A37" s="31" t="s">
        <v>4</v>
      </c>
      <c r="B37" s="32">
        <v>4</v>
      </c>
      <c r="C37" s="32">
        <v>18006986</v>
      </c>
      <c r="D37" s="28" t="s">
        <v>85</v>
      </c>
      <c r="E37" s="28" t="s">
        <v>85</v>
      </c>
      <c r="F37" s="28">
        <v>7</v>
      </c>
      <c r="G37" s="28">
        <v>7</v>
      </c>
      <c r="H37" s="28">
        <v>10</v>
      </c>
      <c r="I37" s="28">
        <v>10</v>
      </c>
      <c r="J37" s="28" t="s">
        <v>85</v>
      </c>
      <c r="K37" s="29">
        <v>-5</v>
      </c>
      <c r="L37" s="29">
        <v>7</v>
      </c>
      <c r="M37" s="28" t="s">
        <v>85</v>
      </c>
      <c r="N37" s="28">
        <v>7</v>
      </c>
      <c r="O37" s="28">
        <v>7</v>
      </c>
      <c r="P37" s="28">
        <v>10</v>
      </c>
      <c r="Q37" s="28">
        <v>10</v>
      </c>
      <c r="R37" s="28" t="s">
        <v>85</v>
      </c>
      <c r="S37" s="28" t="s">
        <v>85</v>
      </c>
      <c r="T37" s="29">
        <v>-6</v>
      </c>
      <c r="U37" s="30">
        <v>0</v>
      </c>
      <c r="V37" s="28">
        <v>7</v>
      </c>
      <c r="W37" s="28">
        <v>7</v>
      </c>
      <c r="X37" s="28">
        <v>10</v>
      </c>
      <c r="Y37" s="28">
        <v>10</v>
      </c>
      <c r="Z37" s="28" t="s">
        <v>85</v>
      </c>
      <c r="AA37" s="28" t="s">
        <v>85</v>
      </c>
      <c r="AB37" s="28">
        <v>7</v>
      </c>
      <c r="AC37" s="29">
        <v>1</v>
      </c>
      <c r="AD37" s="30">
        <v>0</v>
      </c>
      <c r="AE37" s="28">
        <v>7</v>
      </c>
      <c r="AF37" s="28">
        <v>10</v>
      </c>
      <c r="AG37" s="28">
        <v>10</v>
      </c>
      <c r="AH37" s="28" t="s">
        <v>85</v>
      </c>
      <c r="AI37" s="28" t="s">
        <v>85</v>
      </c>
      <c r="AJ37" s="28">
        <v>7</v>
      </c>
      <c r="AK37" s="28">
        <v>7</v>
      </c>
      <c r="AL37" s="29">
        <v>1</v>
      </c>
      <c r="AM37" s="30">
        <v>0</v>
      </c>
    </row>
    <row r="38" spans="1:39" s="1" customFormat="1" ht="16.5" customHeight="1">
      <c r="A38" s="31" t="s">
        <v>243</v>
      </c>
      <c r="B38" s="32">
        <v>4</v>
      </c>
      <c r="C38" s="32">
        <v>18005749</v>
      </c>
      <c r="D38" s="28" t="s">
        <v>85</v>
      </c>
      <c r="E38" s="28">
        <v>7</v>
      </c>
      <c r="F38" s="28">
        <v>7</v>
      </c>
      <c r="G38" s="28">
        <v>7</v>
      </c>
      <c r="H38" s="28">
        <v>7</v>
      </c>
      <c r="I38" s="28">
        <v>7</v>
      </c>
      <c r="J38" s="28">
        <v>7</v>
      </c>
      <c r="K38" s="29">
        <v>3</v>
      </c>
      <c r="L38" s="29">
        <v>7</v>
      </c>
      <c r="M38" s="28" t="s">
        <v>85</v>
      </c>
      <c r="N38" s="28">
        <v>7</v>
      </c>
      <c r="O38" s="28">
        <v>7</v>
      </c>
      <c r="P38" s="28">
        <v>7</v>
      </c>
      <c r="Q38" s="28">
        <v>7</v>
      </c>
      <c r="R38" s="28">
        <v>7</v>
      </c>
      <c r="S38" s="28">
        <v>7</v>
      </c>
      <c r="T38" s="29">
        <v>2</v>
      </c>
      <c r="U38" s="30">
        <v>0</v>
      </c>
      <c r="V38" s="28" t="s">
        <v>85</v>
      </c>
      <c r="W38" s="28">
        <v>7</v>
      </c>
      <c r="X38" s="28">
        <v>7</v>
      </c>
      <c r="Y38" s="28">
        <v>7</v>
      </c>
      <c r="Z38" s="28">
        <v>7</v>
      </c>
      <c r="AA38" s="28">
        <v>7</v>
      </c>
      <c r="AB38" s="28">
        <v>7</v>
      </c>
      <c r="AC38" s="29">
        <v>2</v>
      </c>
      <c r="AD38" s="30">
        <v>0</v>
      </c>
      <c r="AE38" s="28" t="s">
        <v>85</v>
      </c>
      <c r="AF38" s="28">
        <v>7</v>
      </c>
      <c r="AG38" s="28">
        <v>7</v>
      </c>
      <c r="AH38" s="28">
        <v>7</v>
      </c>
      <c r="AI38" s="28">
        <v>7</v>
      </c>
      <c r="AJ38" s="28">
        <v>7</v>
      </c>
      <c r="AK38" s="28">
        <v>7</v>
      </c>
      <c r="AL38" s="29">
        <v>2</v>
      </c>
      <c r="AM38" s="30">
        <v>0</v>
      </c>
    </row>
    <row r="39" spans="1:39" s="1" customFormat="1" ht="16.5" customHeight="1">
      <c r="A39" s="31" t="s">
        <v>26</v>
      </c>
      <c r="B39" s="32">
        <v>4</v>
      </c>
      <c r="C39" s="32">
        <v>18004170</v>
      </c>
      <c r="D39" s="28">
        <v>7</v>
      </c>
      <c r="E39" s="28">
        <v>10</v>
      </c>
      <c r="F39" s="28">
        <v>10</v>
      </c>
      <c r="G39" s="28" t="s">
        <v>85</v>
      </c>
      <c r="H39" s="28" t="s">
        <v>85</v>
      </c>
      <c r="I39" s="28">
        <v>7</v>
      </c>
      <c r="J39" s="28">
        <v>7</v>
      </c>
      <c r="K39" s="29">
        <v>-1</v>
      </c>
      <c r="L39" s="29">
        <v>10</v>
      </c>
      <c r="M39" s="28">
        <v>7</v>
      </c>
      <c r="N39" s="28">
        <v>7</v>
      </c>
      <c r="O39" s="28">
        <v>10</v>
      </c>
      <c r="P39" s="28">
        <v>10</v>
      </c>
      <c r="Q39" s="28" t="s">
        <v>85</v>
      </c>
      <c r="R39" s="28" t="s">
        <v>85</v>
      </c>
      <c r="S39" s="28">
        <v>7</v>
      </c>
      <c r="T39" s="29">
        <v>1</v>
      </c>
      <c r="U39" s="30">
        <v>0</v>
      </c>
      <c r="V39" s="28">
        <v>7</v>
      </c>
      <c r="W39" s="28">
        <v>7</v>
      </c>
      <c r="X39" s="28">
        <v>7</v>
      </c>
      <c r="Y39" s="28">
        <v>10</v>
      </c>
      <c r="Z39" s="28">
        <v>10</v>
      </c>
      <c r="AA39" s="28" t="s">
        <v>85</v>
      </c>
      <c r="AB39" s="28" t="s">
        <v>85</v>
      </c>
      <c r="AC39" s="29">
        <v>1</v>
      </c>
      <c r="AD39" s="30">
        <v>0</v>
      </c>
      <c r="AE39" s="28">
        <v>7</v>
      </c>
      <c r="AF39" s="28">
        <v>7</v>
      </c>
      <c r="AG39" s="28">
        <v>7</v>
      </c>
      <c r="AH39" s="28">
        <v>7</v>
      </c>
      <c r="AI39" s="28">
        <v>10</v>
      </c>
      <c r="AJ39" s="28">
        <v>10</v>
      </c>
      <c r="AK39" s="28" t="s">
        <v>85</v>
      </c>
      <c r="AL39" s="29">
        <v>8</v>
      </c>
      <c r="AM39" s="30">
        <v>0</v>
      </c>
    </row>
    <row r="40" spans="1:39" s="1" customFormat="1" ht="16.5" customHeight="1">
      <c r="A40" s="31" t="s">
        <v>27</v>
      </c>
      <c r="B40" s="32">
        <v>4</v>
      </c>
      <c r="C40" s="32">
        <v>18004198</v>
      </c>
      <c r="D40" s="28" t="s">
        <v>85</v>
      </c>
      <c r="E40" s="28" t="s">
        <v>85</v>
      </c>
      <c r="F40" s="28">
        <v>8</v>
      </c>
      <c r="G40" s="28">
        <v>8</v>
      </c>
      <c r="H40" s="28">
        <v>8</v>
      </c>
      <c r="I40" s="28">
        <v>14</v>
      </c>
      <c r="J40" s="28">
        <v>8</v>
      </c>
      <c r="K40" s="29">
        <v>6</v>
      </c>
      <c r="L40" s="29">
        <v>8</v>
      </c>
      <c r="M40" s="28" t="s">
        <v>85</v>
      </c>
      <c r="N40" s="28" t="s">
        <v>84</v>
      </c>
      <c r="O40" s="28">
        <v>8</v>
      </c>
      <c r="P40" s="28">
        <v>8</v>
      </c>
      <c r="Q40" s="28">
        <v>8</v>
      </c>
      <c r="R40" s="28">
        <v>8</v>
      </c>
      <c r="S40" s="28">
        <v>8</v>
      </c>
      <c r="T40" s="29">
        <v>0</v>
      </c>
      <c r="U40" s="30">
        <v>0</v>
      </c>
      <c r="V40" s="28" t="s">
        <v>85</v>
      </c>
      <c r="W40" s="28" t="s">
        <v>85</v>
      </c>
      <c r="X40" s="28">
        <v>8</v>
      </c>
      <c r="Y40" s="28">
        <v>8</v>
      </c>
      <c r="Z40" s="28">
        <v>8</v>
      </c>
      <c r="AA40" s="28">
        <v>8</v>
      </c>
      <c r="AB40" s="28">
        <v>8</v>
      </c>
      <c r="AC40" s="29">
        <v>0</v>
      </c>
      <c r="AD40" s="30">
        <v>0</v>
      </c>
      <c r="AE40" s="28" t="s">
        <v>85</v>
      </c>
      <c r="AF40" s="28" t="s">
        <v>85</v>
      </c>
      <c r="AG40" s="28">
        <v>8</v>
      </c>
      <c r="AH40" s="28">
        <v>8</v>
      </c>
      <c r="AI40" s="28">
        <v>8</v>
      </c>
      <c r="AJ40" s="28">
        <v>8</v>
      </c>
      <c r="AK40" s="28">
        <v>8</v>
      </c>
      <c r="AL40" s="29">
        <v>0</v>
      </c>
      <c r="AM40" s="30">
        <v>0</v>
      </c>
    </row>
    <row r="41" spans="1:39" s="1" customFormat="1" ht="16.5" customHeight="1">
      <c r="A41" s="31" t="s">
        <v>339</v>
      </c>
      <c r="B41" s="32">
        <v>4</v>
      </c>
      <c r="C41" s="32">
        <v>18008449</v>
      </c>
      <c r="D41" s="28" t="s">
        <v>85</v>
      </c>
      <c r="E41" s="28">
        <v>7</v>
      </c>
      <c r="F41" s="28">
        <v>7</v>
      </c>
      <c r="G41" s="28">
        <v>7</v>
      </c>
      <c r="H41" s="28">
        <v>7</v>
      </c>
      <c r="I41" s="28">
        <v>10</v>
      </c>
      <c r="J41" s="28">
        <v>10</v>
      </c>
      <c r="K41" s="29">
        <v>9</v>
      </c>
      <c r="L41" s="29">
        <v>7</v>
      </c>
      <c r="M41" s="28" t="s">
        <v>85</v>
      </c>
      <c r="N41" s="28" t="s">
        <v>84</v>
      </c>
      <c r="O41" s="28">
        <v>7</v>
      </c>
      <c r="P41" s="28">
        <v>7</v>
      </c>
      <c r="Q41" s="28">
        <v>7</v>
      </c>
      <c r="R41" s="28">
        <v>7</v>
      </c>
      <c r="S41" s="28">
        <v>10</v>
      </c>
      <c r="T41" s="29">
        <v>-2</v>
      </c>
      <c r="U41" s="30">
        <v>0</v>
      </c>
      <c r="V41" s="28">
        <v>10</v>
      </c>
      <c r="W41" s="28" t="s">
        <v>85</v>
      </c>
      <c r="X41" s="28" t="s">
        <v>85</v>
      </c>
      <c r="Y41" s="28">
        <v>7</v>
      </c>
      <c r="Z41" s="28">
        <v>7</v>
      </c>
      <c r="AA41" s="28">
        <v>7</v>
      </c>
      <c r="AB41" s="28">
        <v>7</v>
      </c>
      <c r="AC41" s="29">
        <v>-2</v>
      </c>
      <c r="AD41" s="30">
        <v>0</v>
      </c>
      <c r="AE41" s="28">
        <v>10</v>
      </c>
      <c r="AF41" s="28">
        <v>10</v>
      </c>
      <c r="AG41" s="28" t="s">
        <v>85</v>
      </c>
      <c r="AH41" s="28" t="s">
        <v>85</v>
      </c>
      <c r="AI41" s="28">
        <v>7</v>
      </c>
      <c r="AJ41" s="28">
        <v>7</v>
      </c>
      <c r="AK41" s="28">
        <v>7</v>
      </c>
      <c r="AL41" s="29">
        <v>1</v>
      </c>
      <c r="AM41" s="30">
        <v>0</v>
      </c>
    </row>
    <row r="42" spans="1:39" s="1" customFormat="1" ht="16.5" customHeight="1">
      <c r="A42" s="31" t="s">
        <v>28</v>
      </c>
      <c r="B42" s="32">
        <v>4</v>
      </c>
      <c r="C42" s="32">
        <v>18004475</v>
      </c>
      <c r="D42" s="28">
        <v>10</v>
      </c>
      <c r="E42" s="28" t="s">
        <v>85</v>
      </c>
      <c r="F42" s="28" t="s">
        <v>85</v>
      </c>
      <c r="G42" s="28">
        <v>7</v>
      </c>
      <c r="H42" s="28">
        <v>7</v>
      </c>
      <c r="I42" s="28">
        <v>7</v>
      </c>
      <c r="J42" s="28">
        <v>7</v>
      </c>
      <c r="K42" s="29">
        <v>6</v>
      </c>
      <c r="L42" s="29">
        <v>0</v>
      </c>
      <c r="M42" s="28">
        <v>10</v>
      </c>
      <c r="N42" s="28">
        <v>10</v>
      </c>
      <c r="O42" s="28" t="s">
        <v>85</v>
      </c>
      <c r="P42" s="28" t="s">
        <v>85</v>
      </c>
      <c r="Q42" s="28">
        <v>7</v>
      </c>
      <c r="R42" s="28">
        <v>7</v>
      </c>
      <c r="S42" s="28">
        <v>7</v>
      </c>
      <c r="T42" s="29">
        <v>1</v>
      </c>
      <c r="U42" s="30">
        <v>0</v>
      </c>
      <c r="V42" s="28">
        <v>7</v>
      </c>
      <c r="W42" s="28">
        <v>10</v>
      </c>
      <c r="X42" s="28">
        <v>10</v>
      </c>
      <c r="Y42" s="28" t="s">
        <v>85</v>
      </c>
      <c r="Z42" s="28" t="s">
        <v>85</v>
      </c>
      <c r="AA42" s="28">
        <v>7</v>
      </c>
      <c r="AB42" s="28">
        <v>7</v>
      </c>
      <c r="AC42" s="29">
        <v>1</v>
      </c>
      <c r="AD42" s="30">
        <v>0</v>
      </c>
      <c r="AE42" s="28">
        <v>7</v>
      </c>
      <c r="AF42" s="28">
        <v>7</v>
      </c>
      <c r="AG42" s="28">
        <v>10</v>
      </c>
      <c r="AH42" s="28">
        <v>10</v>
      </c>
      <c r="AI42" s="28" t="s">
        <v>85</v>
      </c>
      <c r="AJ42" s="28" t="s">
        <v>85</v>
      </c>
      <c r="AK42" s="28">
        <v>7</v>
      </c>
      <c r="AL42" s="29">
        <v>1</v>
      </c>
      <c r="AM42" s="30">
        <v>0</v>
      </c>
    </row>
    <row r="43" spans="1:39" s="1" customFormat="1" ht="16.5" customHeight="1">
      <c r="A43" s="31" t="s">
        <v>345</v>
      </c>
      <c r="B43" s="32">
        <v>4</v>
      </c>
      <c r="C43" s="32">
        <v>18004283</v>
      </c>
      <c r="D43" s="28">
        <v>7</v>
      </c>
      <c r="E43" s="28">
        <v>7</v>
      </c>
      <c r="F43" s="28">
        <v>7</v>
      </c>
      <c r="G43" s="28">
        <v>10</v>
      </c>
      <c r="H43" s="28">
        <v>10</v>
      </c>
      <c r="I43" s="28" t="s">
        <v>69</v>
      </c>
      <c r="J43" s="28" t="s">
        <v>85</v>
      </c>
      <c r="K43" s="29">
        <v>2</v>
      </c>
      <c r="L43" s="29">
        <v>7</v>
      </c>
      <c r="M43" s="28">
        <v>7</v>
      </c>
      <c r="N43" s="28">
        <v>7</v>
      </c>
      <c r="O43" s="28">
        <v>7</v>
      </c>
      <c r="P43" s="28">
        <v>7</v>
      </c>
      <c r="Q43" s="28">
        <v>10</v>
      </c>
      <c r="R43" s="28">
        <v>10</v>
      </c>
      <c r="S43" s="28" t="s">
        <v>85</v>
      </c>
      <c r="T43" s="29">
        <v>8</v>
      </c>
      <c r="U43" s="30">
        <v>0</v>
      </c>
      <c r="V43" s="28" t="s">
        <v>85</v>
      </c>
      <c r="W43" s="28">
        <v>7</v>
      </c>
      <c r="X43" s="28">
        <v>7</v>
      </c>
      <c r="Y43" s="28">
        <v>7</v>
      </c>
      <c r="Z43" s="28">
        <v>7</v>
      </c>
      <c r="AA43" s="28">
        <v>10</v>
      </c>
      <c r="AB43" s="28">
        <v>10</v>
      </c>
      <c r="AC43" s="29">
        <v>8</v>
      </c>
      <c r="AD43" s="30">
        <v>0</v>
      </c>
      <c r="AE43" s="28" t="s">
        <v>85</v>
      </c>
      <c r="AF43" s="28" t="s">
        <v>85</v>
      </c>
      <c r="AG43" s="28">
        <v>7</v>
      </c>
      <c r="AH43" s="28">
        <v>7</v>
      </c>
      <c r="AI43" s="28">
        <v>7</v>
      </c>
      <c r="AJ43" s="28">
        <v>7</v>
      </c>
      <c r="AK43" s="28">
        <v>10</v>
      </c>
      <c r="AL43" s="29">
        <v>-2</v>
      </c>
      <c r="AM43" s="30">
        <v>0</v>
      </c>
    </row>
    <row r="44" spans="1:39" s="1" customFormat="1" ht="16.5" customHeight="1">
      <c r="A44" s="31" t="s">
        <v>365</v>
      </c>
      <c r="B44" s="32">
        <v>4</v>
      </c>
      <c r="C44" s="32">
        <v>18008452</v>
      </c>
      <c r="D44" s="28" t="s">
        <v>85</v>
      </c>
      <c r="E44" s="28" t="s">
        <v>85</v>
      </c>
      <c r="F44" s="28">
        <v>10</v>
      </c>
      <c r="G44" s="28">
        <v>8</v>
      </c>
      <c r="H44" s="28">
        <v>8</v>
      </c>
      <c r="I44" s="28">
        <v>10</v>
      </c>
      <c r="J44" s="28">
        <v>8</v>
      </c>
      <c r="K44" s="29">
        <v>2</v>
      </c>
      <c r="L44" s="29">
        <v>10</v>
      </c>
      <c r="M44" s="28">
        <v>8</v>
      </c>
      <c r="N44" s="28" t="s">
        <v>84</v>
      </c>
      <c r="O44" s="28">
        <v>8</v>
      </c>
      <c r="P44" s="28">
        <v>10</v>
      </c>
      <c r="Q44" s="28">
        <v>8</v>
      </c>
      <c r="R44" s="28">
        <v>8</v>
      </c>
      <c r="S44" s="28">
        <v>8</v>
      </c>
      <c r="T44" s="29">
        <v>10</v>
      </c>
      <c r="U44" s="30">
        <v>0</v>
      </c>
      <c r="V44" s="28" t="s">
        <v>85</v>
      </c>
      <c r="W44" s="28" t="s">
        <v>85</v>
      </c>
      <c r="X44" s="28">
        <v>10</v>
      </c>
      <c r="Y44" s="28">
        <v>10</v>
      </c>
      <c r="Z44" s="28">
        <v>7</v>
      </c>
      <c r="AA44" s="28">
        <v>7</v>
      </c>
      <c r="AB44" s="28">
        <v>7</v>
      </c>
      <c r="AC44" s="29">
        <v>1</v>
      </c>
      <c r="AD44" s="30">
        <v>0</v>
      </c>
      <c r="AE44" s="28">
        <v>7</v>
      </c>
      <c r="AF44" s="28">
        <v>10</v>
      </c>
      <c r="AG44" s="28">
        <v>10</v>
      </c>
      <c r="AH44" s="28" t="s">
        <v>85</v>
      </c>
      <c r="AI44" s="28" t="s">
        <v>85</v>
      </c>
      <c r="AJ44" s="28">
        <v>7</v>
      </c>
      <c r="AK44" s="28">
        <v>7</v>
      </c>
      <c r="AL44" s="29">
        <v>1</v>
      </c>
      <c r="AM44" s="30">
        <v>0</v>
      </c>
    </row>
    <row r="45" spans="1:39" s="1" customFormat="1" ht="16.5" customHeight="1">
      <c r="A45" s="31" t="s">
        <v>206</v>
      </c>
      <c r="B45" s="32">
        <v>11</v>
      </c>
      <c r="C45" s="32">
        <v>18004130</v>
      </c>
      <c r="D45" s="28">
        <v>7</v>
      </c>
      <c r="E45" s="28">
        <v>7</v>
      </c>
      <c r="F45" s="28">
        <v>7</v>
      </c>
      <c r="G45" s="28">
        <v>10</v>
      </c>
      <c r="H45" s="28">
        <v>10</v>
      </c>
      <c r="I45" s="28">
        <v>7</v>
      </c>
      <c r="J45" s="28">
        <v>7</v>
      </c>
      <c r="K45" s="29">
        <v>16</v>
      </c>
      <c r="L45" s="29">
        <v>7</v>
      </c>
      <c r="M45" s="28">
        <v>7</v>
      </c>
      <c r="N45" s="28">
        <v>7</v>
      </c>
      <c r="O45" s="28">
        <v>10</v>
      </c>
      <c r="P45" s="28">
        <v>7</v>
      </c>
      <c r="Q45" s="28">
        <v>7</v>
      </c>
      <c r="R45" s="28">
        <v>7</v>
      </c>
      <c r="S45" s="28">
        <v>10</v>
      </c>
      <c r="T45" s="29">
        <v>15</v>
      </c>
      <c r="U45" s="30">
        <v>0</v>
      </c>
      <c r="V45" s="28">
        <v>10</v>
      </c>
      <c r="W45" s="28">
        <v>0</v>
      </c>
      <c r="X45" s="28">
        <v>0</v>
      </c>
      <c r="Y45" s="28">
        <v>7</v>
      </c>
      <c r="Z45" s="28">
        <v>7</v>
      </c>
      <c r="AA45" s="28">
        <v>7</v>
      </c>
      <c r="AB45" s="28">
        <v>7</v>
      </c>
      <c r="AC45" s="29">
        <v>-2</v>
      </c>
      <c r="AD45" s="30">
        <v>0</v>
      </c>
      <c r="AE45" s="28">
        <v>10</v>
      </c>
      <c r="AF45" s="28">
        <v>10</v>
      </c>
      <c r="AG45" s="28">
        <v>0</v>
      </c>
      <c r="AH45" s="28">
        <v>0</v>
      </c>
      <c r="AI45" s="28">
        <v>7</v>
      </c>
      <c r="AJ45" s="28">
        <v>7</v>
      </c>
      <c r="AK45" s="28">
        <v>7</v>
      </c>
      <c r="AL45" s="29">
        <v>1</v>
      </c>
      <c r="AM45" s="30">
        <v>0</v>
      </c>
    </row>
    <row r="46" spans="1:39" s="1" customFormat="1" ht="16.5" customHeight="1">
      <c r="A46" s="31" t="s">
        <v>208</v>
      </c>
      <c r="B46" s="32">
        <v>11</v>
      </c>
      <c r="C46" s="32">
        <v>18005160</v>
      </c>
      <c r="D46" s="28">
        <v>10</v>
      </c>
      <c r="E46" s="28">
        <v>7</v>
      </c>
      <c r="F46" s="28">
        <v>7</v>
      </c>
      <c r="G46" s="28">
        <v>7</v>
      </c>
      <c r="H46" s="28">
        <v>7</v>
      </c>
      <c r="I46" s="28">
        <v>10</v>
      </c>
      <c r="J46" s="28">
        <v>10</v>
      </c>
      <c r="K46" s="29">
        <v>19</v>
      </c>
      <c r="L46" s="29">
        <v>7</v>
      </c>
      <c r="M46" s="28">
        <v>7</v>
      </c>
      <c r="N46" s="28">
        <v>7</v>
      </c>
      <c r="O46" s="28">
        <v>7</v>
      </c>
      <c r="P46" s="28">
        <v>7</v>
      </c>
      <c r="Q46" s="28">
        <v>7</v>
      </c>
      <c r="R46" s="28">
        <v>7</v>
      </c>
      <c r="S46" s="28">
        <v>7</v>
      </c>
      <c r="T46" s="29">
        <v>9</v>
      </c>
      <c r="U46" s="30">
        <v>0</v>
      </c>
      <c r="V46" s="28">
        <v>7</v>
      </c>
      <c r="W46" s="28">
        <v>10</v>
      </c>
      <c r="X46" s="28">
        <v>10</v>
      </c>
      <c r="Y46" s="28">
        <v>0</v>
      </c>
      <c r="Z46" s="28">
        <v>0</v>
      </c>
      <c r="AA46" s="28">
        <v>7</v>
      </c>
      <c r="AB46" s="28">
        <v>7</v>
      </c>
      <c r="AC46" s="29">
        <v>1</v>
      </c>
      <c r="AD46" s="30">
        <v>0</v>
      </c>
      <c r="AE46" s="28">
        <v>7</v>
      </c>
      <c r="AF46" s="28">
        <v>7</v>
      </c>
      <c r="AG46" s="28">
        <v>10</v>
      </c>
      <c r="AH46" s="28">
        <v>10</v>
      </c>
      <c r="AI46" s="28">
        <v>0</v>
      </c>
      <c r="AJ46" s="28">
        <v>0</v>
      </c>
      <c r="AK46" s="28">
        <v>7</v>
      </c>
      <c r="AL46" s="29">
        <v>1</v>
      </c>
      <c r="AM46" s="30">
        <v>0</v>
      </c>
    </row>
    <row r="47" spans="1:39" s="1" customFormat="1" ht="16.5" customHeight="1">
      <c r="A47" s="31" t="s">
        <v>202</v>
      </c>
      <c r="B47" s="32">
        <v>11</v>
      </c>
      <c r="C47" s="32">
        <v>18005156</v>
      </c>
      <c r="D47" s="28">
        <v>7</v>
      </c>
      <c r="E47" s="28">
        <v>10</v>
      </c>
      <c r="F47" s="28">
        <v>10</v>
      </c>
      <c r="G47" s="28">
        <v>7</v>
      </c>
      <c r="H47" s="28">
        <v>7</v>
      </c>
      <c r="I47" s="28">
        <v>7</v>
      </c>
      <c r="J47" s="28">
        <v>7</v>
      </c>
      <c r="K47" s="29">
        <v>13</v>
      </c>
      <c r="L47" s="29">
        <v>10</v>
      </c>
      <c r="M47" s="28">
        <v>10</v>
      </c>
      <c r="N47" s="28">
        <v>10</v>
      </c>
      <c r="O47" s="28">
        <v>7</v>
      </c>
      <c r="P47" s="28">
        <v>7</v>
      </c>
      <c r="Q47" s="28">
        <v>10</v>
      </c>
      <c r="R47" s="28">
        <v>10</v>
      </c>
      <c r="S47" s="28">
        <v>0</v>
      </c>
      <c r="T47" s="29">
        <v>14</v>
      </c>
      <c r="U47" s="30">
        <v>0</v>
      </c>
      <c r="V47" s="28">
        <v>0</v>
      </c>
      <c r="W47" s="28">
        <v>7</v>
      </c>
      <c r="X47" s="28">
        <v>7</v>
      </c>
      <c r="Y47" s="28">
        <v>7</v>
      </c>
      <c r="Z47" s="28">
        <v>7</v>
      </c>
      <c r="AA47" s="28">
        <v>10</v>
      </c>
      <c r="AB47" s="28">
        <v>10</v>
      </c>
      <c r="AC47" s="29">
        <v>8</v>
      </c>
      <c r="AD47" s="30">
        <v>0</v>
      </c>
      <c r="AE47" s="28">
        <v>0</v>
      </c>
      <c r="AF47" s="28">
        <v>0</v>
      </c>
      <c r="AG47" s="28">
        <v>7</v>
      </c>
      <c r="AH47" s="28">
        <v>7</v>
      </c>
      <c r="AI47" s="28">
        <v>7</v>
      </c>
      <c r="AJ47" s="28">
        <v>7</v>
      </c>
      <c r="AK47" s="28">
        <v>10</v>
      </c>
      <c r="AL47" s="29">
        <v>-2</v>
      </c>
      <c r="AM47" s="30">
        <v>0</v>
      </c>
    </row>
    <row r="48" spans="1:39" s="1" customFormat="1" ht="16.5" customHeight="1">
      <c r="A48" s="31" t="s">
        <v>204</v>
      </c>
      <c r="B48" s="32">
        <v>11</v>
      </c>
      <c r="C48" s="32">
        <v>18006991</v>
      </c>
      <c r="D48" s="28">
        <v>7</v>
      </c>
      <c r="E48" s="28">
        <v>7</v>
      </c>
      <c r="F48" s="28">
        <v>7</v>
      </c>
      <c r="G48" s="28">
        <v>10</v>
      </c>
      <c r="H48" s="28">
        <v>10</v>
      </c>
      <c r="I48" s="28">
        <v>0</v>
      </c>
      <c r="J48" s="28">
        <v>0</v>
      </c>
      <c r="K48" s="29">
        <v>2</v>
      </c>
      <c r="L48" s="29">
        <v>7</v>
      </c>
      <c r="M48" s="28">
        <v>7</v>
      </c>
      <c r="N48" s="28">
        <v>7</v>
      </c>
      <c r="O48" s="28">
        <v>7</v>
      </c>
      <c r="P48" s="28">
        <v>7</v>
      </c>
      <c r="Q48" s="28">
        <v>10</v>
      </c>
      <c r="R48" s="28">
        <v>10</v>
      </c>
      <c r="S48" s="28">
        <v>0</v>
      </c>
      <c r="T48" s="29">
        <v>8</v>
      </c>
      <c r="U48" s="30">
        <v>0</v>
      </c>
      <c r="V48" s="28">
        <v>0</v>
      </c>
      <c r="W48" s="28">
        <v>7</v>
      </c>
      <c r="X48" s="28">
        <v>7</v>
      </c>
      <c r="Y48" s="28">
        <v>7</v>
      </c>
      <c r="Z48" s="28">
        <v>7</v>
      </c>
      <c r="AA48" s="28">
        <v>10</v>
      </c>
      <c r="AB48" s="28">
        <v>10</v>
      </c>
      <c r="AC48" s="29">
        <v>8</v>
      </c>
      <c r="AD48" s="30">
        <v>0</v>
      </c>
      <c r="AE48" s="28">
        <v>0</v>
      </c>
      <c r="AF48" s="28">
        <v>0</v>
      </c>
      <c r="AG48" s="28">
        <v>7</v>
      </c>
      <c r="AH48" s="28">
        <v>7</v>
      </c>
      <c r="AI48" s="28">
        <v>7</v>
      </c>
      <c r="AJ48" s="28">
        <v>7</v>
      </c>
      <c r="AK48" s="28">
        <v>10</v>
      </c>
      <c r="AL48" s="29">
        <v>-2</v>
      </c>
      <c r="AM48" s="30">
        <v>0</v>
      </c>
    </row>
    <row r="49" spans="1:39" s="1" customFormat="1" ht="16.5" customHeight="1">
      <c r="A49" s="31" t="s">
        <v>205</v>
      </c>
      <c r="B49" s="32">
        <v>11</v>
      </c>
      <c r="C49" s="32">
        <v>18004102</v>
      </c>
      <c r="D49" s="28">
        <v>7</v>
      </c>
      <c r="E49" s="28">
        <v>10</v>
      </c>
      <c r="F49" s="28">
        <v>10</v>
      </c>
      <c r="G49" s="28">
        <v>0</v>
      </c>
      <c r="H49" s="28">
        <v>0</v>
      </c>
      <c r="I49" s="28">
        <v>7</v>
      </c>
      <c r="J49" s="28">
        <v>7</v>
      </c>
      <c r="K49" s="29">
        <v>-1</v>
      </c>
      <c r="L49" s="29">
        <v>10</v>
      </c>
      <c r="M49" s="28">
        <v>7</v>
      </c>
      <c r="N49" s="28">
        <v>7</v>
      </c>
      <c r="O49" s="28">
        <v>10</v>
      </c>
      <c r="P49" s="28">
        <v>10</v>
      </c>
      <c r="Q49" s="28">
        <v>0</v>
      </c>
      <c r="R49" s="28">
        <v>0</v>
      </c>
      <c r="S49" s="28">
        <v>7</v>
      </c>
      <c r="T49" s="29">
        <v>1</v>
      </c>
      <c r="U49" s="30">
        <v>0</v>
      </c>
      <c r="V49" s="28">
        <v>7</v>
      </c>
      <c r="W49" s="28">
        <v>7</v>
      </c>
      <c r="X49" s="28">
        <v>7</v>
      </c>
      <c r="Y49" s="28">
        <v>10</v>
      </c>
      <c r="Z49" s="28">
        <v>10</v>
      </c>
      <c r="AA49" s="28">
        <v>0</v>
      </c>
      <c r="AB49" s="28">
        <v>0</v>
      </c>
      <c r="AC49" s="29">
        <v>1</v>
      </c>
      <c r="AD49" s="30">
        <v>0</v>
      </c>
      <c r="AE49" s="28">
        <v>7</v>
      </c>
      <c r="AF49" s="28">
        <v>7</v>
      </c>
      <c r="AG49" s="28">
        <v>7</v>
      </c>
      <c r="AH49" s="28">
        <v>7</v>
      </c>
      <c r="AI49" s="28">
        <v>10</v>
      </c>
      <c r="AJ49" s="28">
        <v>10</v>
      </c>
      <c r="AK49" s="28">
        <v>0</v>
      </c>
      <c r="AL49" s="29">
        <v>8</v>
      </c>
      <c r="AM49" s="30">
        <v>0</v>
      </c>
    </row>
    <row r="50" spans="1:39" s="1" customFormat="1" ht="16.5" customHeight="1">
      <c r="A50" s="31" t="s">
        <v>211</v>
      </c>
      <c r="B50" s="32">
        <v>11</v>
      </c>
      <c r="C50" s="32">
        <v>18005157</v>
      </c>
      <c r="D50" s="28">
        <v>10</v>
      </c>
      <c r="E50" s="28">
        <v>0</v>
      </c>
      <c r="F50" s="28">
        <v>0</v>
      </c>
      <c r="G50" s="28">
        <v>7</v>
      </c>
      <c r="H50" s="28">
        <v>7</v>
      </c>
      <c r="I50" s="28">
        <v>7</v>
      </c>
      <c r="J50" s="28">
        <v>7</v>
      </c>
      <c r="K50" s="29">
        <v>6</v>
      </c>
      <c r="L50" s="29">
        <v>0</v>
      </c>
      <c r="M50" s="28">
        <v>10</v>
      </c>
      <c r="N50" s="28">
        <v>10</v>
      </c>
      <c r="O50" s="28">
        <v>0</v>
      </c>
      <c r="P50" s="28">
        <v>0</v>
      </c>
      <c r="Q50" s="28">
        <v>7</v>
      </c>
      <c r="R50" s="28">
        <v>7</v>
      </c>
      <c r="S50" s="28">
        <v>7</v>
      </c>
      <c r="T50" s="29">
        <v>1</v>
      </c>
      <c r="U50" s="30">
        <v>0</v>
      </c>
      <c r="V50" s="28">
        <v>7</v>
      </c>
      <c r="W50" s="28">
        <v>10</v>
      </c>
      <c r="X50" s="28">
        <v>10</v>
      </c>
      <c r="Y50" s="28">
        <v>0</v>
      </c>
      <c r="Z50" s="28">
        <v>0</v>
      </c>
      <c r="AA50" s="28">
        <v>7</v>
      </c>
      <c r="AB50" s="28">
        <v>7</v>
      </c>
      <c r="AC50" s="29">
        <v>1</v>
      </c>
      <c r="AD50" s="30">
        <v>0</v>
      </c>
      <c r="AE50" s="28">
        <v>7</v>
      </c>
      <c r="AF50" s="28">
        <v>7</v>
      </c>
      <c r="AG50" s="28">
        <v>10</v>
      </c>
      <c r="AH50" s="28">
        <v>10</v>
      </c>
      <c r="AI50" s="28">
        <v>0</v>
      </c>
      <c r="AJ50" s="28">
        <v>0</v>
      </c>
      <c r="AK50" s="28">
        <v>7</v>
      </c>
      <c r="AL50" s="29">
        <v>1</v>
      </c>
      <c r="AM50" s="30">
        <v>0</v>
      </c>
    </row>
    <row r="51" spans="1:39" s="1" customFormat="1" ht="16.5" customHeight="1">
      <c r="A51" s="31" t="s">
        <v>358</v>
      </c>
      <c r="B51" s="32">
        <v>11</v>
      </c>
      <c r="C51" s="32">
        <v>18004627</v>
      </c>
      <c r="D51" s="28">
        <v>0</v>
      </c>
      <c r="E51" s="28">
        <v>7</v>
      </c>
      <c r="F51" s="28">
        <v>7</v>
      </c>
      <c r="G51" s="28">
        <v>7</v>
      </c>
      <c r="H51" s="28">
        <v>7</v>
      </c>
      <c r="I51" s="28">
        <v>10</v>
      </c>
      <c r="J51" s="28">
        <v>10</v>
      </c>
      <c r="K51" s="29">
        <v>9</v>
      </c>
      <c r="L51" s="29">
        <v>7</v>
      </c>
      <c r="M51" s="28">
        <v>0</v>
      </c>
      <c r="N51" s="28">
        <v>0</v>
      </c>
      <c r="O51" s="28">
        <v>7</v>
      </c>
      <c r="P51" s="28">
        <v>7</v>
      </c>
      <c r="Q51" s="28">
        <v>7</v>
      </c>
      <c r="R51" s="28">
        <v>7</v>
      </c>
      <c r="S51" s="28">
        <v>10</v>
      </c>
      <c r="T51" s="29">
        <v>-2</v>
      </c>
      <c r="U51" s="30">
        <v>0</v>
      </c>
      <c r="V51" s="28">
        <v>10</v>
      </c>
      <c r="W51" s="28">
        <v>0</v>
      </c>
      <c r="X51" s="28">
        <v>0</v>
      </c>
      <c r="Y51" s="28">
        <v>7</v>
      </c>
      <c r="Z51" s="28">
        <v>7</v>
      </c>
      <c r="AA51" s="28">
        <v>7</v>
      </c>
      <c r="AB51" s="28">
        <v>7</v>
      </c>
      <c r="AC51" s="29">
        <v>-2</v>
      </c>
      <c r="AD51" s="30">
        <v>0</v>
      </c>
      <c r="AE51" s="28">
        <v>10</v>
      </c>
      <c r="AF51" s="28">
        <v>10</v>
      </c>
      <c r="AG51" s="28">
        <v>0</v>
      </c>
      <c r="AH51" s="28">
        <v>0</v>
      </c>
      <c r="AI51" s="28">
        <v>7</v>
      </c>
      <c r="AJ51" s="28">
        <v>7</v>
      </c>
      <c r="AK51" s="28">
        <v>7</v>
      </c>
      <c r="AL51" s="29">
        <v>1</v>
      </c>
      <c r="AM51" s="30">
        <v>0</v>
      </c>
    </row>
    <row r="52" spans="1:39" s="1" customFormat="1" ht="16.5" customHeight="1">
      <c r="A52" s="31" t="s">
        <v>207</v>
      </c>
      <c r="B52" s="32">
        <v>11</v>
      </c>
      <c r="C52" s="32">
        <v>18005154</v>
      </c>
      <c r="D52" s="28">
        <v>7</v>
      </c>
      <c r="E52" s="28">
        <v>7</v>
      </c>
      <c r="F52" s="28">
        <v>7</v>
      </c>
      <c r="G52" s="28">
        <v>10</v>
      </c>
      <c r="H52" s="28">
        <v>10</v>
      </c>
      <c r="I52" s="28">
        <v>0</v>
      </c>
      <c r="J52" s="28">
        <v>7</v>
      </c>
      <c r="K52" s="29">
        <v>9</v>
      </c>
      <c r="L52" s="29">
        <v>7</v>
      </c>
      <c r="M52" s="28">
        <v>10</v>
      </c>
      <c r="N52" s="28">
        <v>0</v>
      </c>
      <c r="O52" s="28">
        <v>7</v>
      </c>
      <c r="P52" s="28">
        <v>7</v>
      </c>
      <c r="Q52" s="28">
        <v>7</v>
      </c>
      <c r="R52" s="28">
        <v>7</v>
      </c>
      <c r="S52" s="28">
        <v>10</v>
      </c>
      <c r="T52" s="29">
        <v>8</v>
      </c>
      <c r="U52" s="30">
        <v>0</v>
      </c>
      <c r="V52" s="28">
        <v>10</v>
      </c>
      <c r="W52" s="28">
        <v>7</v>
      </c>
      <c r="X52" s="28">
        <v>7</v>
      </c>
      <c r="Y52" s="28">
        <v>7</v>
      </c>
      <c r="Z52" s="28">
        <v>7</v>
      </c>
      <c r="AA52" s="28">
        <v>10</v>
      </c>
      <c r="AB52" s="28">
        <v>10</v>
      </c>
      <c r="AC52" s="29">
        <v>18</v>
      </c>
      <c r="AD52" s="30">
        <v>0</v>
      </c>
      <c r="AE52" s="28">
        <v>0</v>
      </c>
      <c r="AF52" s="28">
        <v>0</v>
      </c>
      <c r="AG52" s="28">
        <v>7</v>
      </c>
      <c r="AH52" s="28">
        <v>7</v>
      </c>
      <c r="AI52" s="28">
        <v>7</v>
      </c>
      <c r="AJ52" s="28">
        <v>7</v>
      </c>
      <c r="AK52" s="28">
        <v>10</v>
      </c>
      <c r="AL52" s="29">
        <v>-2</v>
      </c>
      <c r="AM52" s="30">
        <v>0</v>
      </c>
    </row>
    <row r="53" spans="1:39" s="1" customFormat="1" ht="16.5" customHeight="1">
      <c r="A53" s="31" t="s">
        <v>212</v>
      </c>
      <c r="B53" s="32">
        <v>11</v>
      </c>
      <c r="C53" s="32">
        <v>18006981</v>
      </c>
      <c r="D53" s="28" t="s">
        <v>101</v>
      </c>
      <c r="E53" s="28" t="s">
        <v>101</v>
      </c>
      <c r="F53" s="28" t="s">
        <v>101</v>
      </c>
      <c r="G53" s="28" t="s">
        <v>101</v>
      </c>
      <c r="H53" s="28" t="s">
        <v>101</v>
      </c>
      <c r="I53" s="28" t="s">
        <v>101</v>
      </c>
      <c r="J53" s="28">
        <v>7</v>
      </c>
      <c r="K53" s="29">
        <v>-1</v>
      </c>
      <c r="L53" s="29">
        <v>0</v>
      </c>
      <c r="M53" s="28">
        <v>7</v>
      </c>
      <c r="N53" s="28">
        <v>7</v>
      </c>
      <c r="O53" s="28">
        <v>10</v>
      </c>
      <c r="P53" s="28">
        <v>10</v>
      </c>
      <c r="Q53" s="28">
        <v>0</v>
      </c>
      <c r="R53" s="28">
        <v>7</v>
      </c>
      <c r="S53" s="28">
        <v>14</v>
      </c>
      <c r="T53" s="29">
        <v>15</v>
      </c>
      <c r="U53" s="30">
        <v>0</v>
      </c>
      <c r="V53" s="28">
        <v>7</v>
      </c>
      <c r="W53" s="28">
        <v>10</v>
      </c>
      <c r="X53" s="28">
        <v>10</v>
      </c>
      <c r="Y53" s="28">
        <v>7</v>
      </c>
      <c r="Z53" s="28">
        <v>7</v>
      </c>
      <c r="AA53" s="28">
        <v>7</v>
      </c>
      <c r="AB53" s="28">
        <v>7</v>
      </c>
      <c r="AC53" s="29">
        <v>15</v>
      </c>
      <c r="AD53" s="30">
        <v>0</v>
      </c>
      <c r="AE53" s="28">
        <v>10</v>
      </c>
      <c r="AF53" s="28">
        <v>10</v>
      </c>
      <c r="AG53" s="28">
        <v>0</v>
      </c>
      <c r="AH53" s="28">
        <v>0</v>
      </c>
      <c r="AI53" s="28">
        <v>7</v>
      </c>
      <c r="AJ53" s="28">
        <v>7</v>
      </c>
      <c r="AK53" s="28">
        <v>7</v>
      </c>
      <c r="AL53" s="29">
        <v>1</v>
      </c>
      <c r="AM53" s="30">
        <v>0</v>
      </c>
    </row>
    <row r="54" spans="1:39" s="1" customFormat="1" ht="16.5" customHeight="1">
      <c r="A54" s="31" t="s">
        <v>203</v>
      </c>
      <c r="B54" s="32">
        <v>11</v>
      </c>
      <c r="C54" s="32">
        <v>18005153</v>
      </c>
      <c r="D54" s="28">
        <v>10</v>
      </c>
      <c r="E54" s="28">
        <v>7</v>
      </c>
      <c r="F54" s="28">
        <v>7</v>
      </c>
      <c r="G54" s="28">
        <v>14</v>
      </c>
      <c r="H54" s="28">
        <v>7</v>
      </c>
      <c r="I54" s="28">
        <v>10</v>
      </c>
      <c r="J54" s="28">
        <v>10</v>
      </c>
      <c r="K54" s="29">
        <v>26</v>
      </c>
      <c r="L54" s="29">
        <v>7</v>
      </c>
      <c r="M54" s="28">
        <v>0</v>
      </c>
      <c r="N54" s="28">
        <v>10</v>
      </c>
      <c r="O54" s="28">
        <v>0</v>
      </c>
      <c r="P54" s="28">
        <v>0</v>
      </c>
      <c r="Q54" s="28" t="s">
        <v>101</v>
      </c>
      <c r="R54" s="28" t="s">
        <v>101</v>
      </c>
      <c r="S54" s="28" t="s">
        <v>101</v>
      </c>
      <c r="T54" s="29">
        <v>-6</v>
      </c>
      <c r="U54" s="30">
        <v>0</v>
      </c>
      <c r="V54" s="28" t="s">
        <v>101</v>
      </c>
      <c r="W54" s="28" t="s">
        <v>101</v>
      </c>
      <c r="X54" s="28" t="s">
        <v>101</v>
      </c>
      <c r="Y54" s="28" t="s">
        <v>101</v>
      </c>
      <c r="Z54" s="28" t="s">
        <v>101</v>
      </c>
      <c r="AA54" s="28" t="s">
        <v>101</v>
      </c>
      <c r="AB54" s="28" t="s">
        <v>101</v>
      </c>
      <c r="AC54" s="29">
        <v>0</v>
      </c>
      <c r="AD54" s="30">
        <v>0</v>
      </c>
      <c r="AE54" s="28" t="s">
        <v>101</v>
      </c>
      <c r="AF54" s="28" t="s">
        <v>101</v>
      </c>
      <c r="AG54" s="28">
        <v>7</v>
      </c>
      <c r="AH54" s="28">
        <v>7</v>
      </c>
      <c r="AI54" s="28">
        <v>7</v>
      </c>
      <c r="AJ54" s="28">
        <v>7</v>
      </c>
      <c r="AK54" s="28">
        <v>10</v>
      </c>
      <c r="AL54" s="29">
        <v>-2</v>
      </c>
      <c r="AM54" s="30">
        <v>0</v>
      </c>
    </row>
    <row r="55" spans="1:39" s="1" customFormat="1" ht="16.5" customHeight="1">
      <c r="A55" s="31" t="s">
        <v>210</v>
      </c>
      <c r="B55" s="32">
        <v>11</v>
      </c>
      <c r="C55" s="32">
        <v>18005151</v>
      </c>
      <c r="D55" s="28">
        <v>7</v>
      </c>
      <c r="E55" s="28">
        <v>10</v>
      </c>
      <c r="F55" s="28">
        <v>10</v>
      </c>
      <c r="G55" s="28">
        <v>7</v>
      </c>
      <c r="H55" s="28">
        <v>7</v>
      </c>
      <c r="I55" s="28">
        <v>7</v>
      </c>
      <c r="J55" s="28">
        <v>0</v>
      </c>
      <c r="K55" s="29">
        <v>6</v>
      </c>
      <c r="L55" s="29">
        <v>10</v>
      </c>
      <c r="M55" s="28">
        <v>7</v>
      </c>
      <c r="N55" s="28">
        <v>7</v>
      </c>
      <c r="O55" s="28">
        <v>7</v>
      </c>
      <c r="P55" s="28">
        <v>7</v>
      </c>
      <c r="Q55" s="28">
        <v>10</v>
      </c>
      <c r="R55" s="28">
        <v>10</v>
      </c>
      <c r="S55" s="28">
        <v>7</v>
      </c>
      <c r="T55" s="29">
        <v>15</v>
      </c>
      <c r="U55" s="30">
        <v>0</v>
      </c>
      <c r="V55" s="28">
        <v>7</v>
      </c>
      <c r="W55" s="28">
        <v>7</v>
      </c>
      <c r="X55" s="28">
        <v>7</v>
      </c>
      <c r="Y55" s="28">
        <v>0</v>
      </c>
      <c r="Z55" s="28">
        <v>0</v>
      </c>
      <c r="AA55" s="28">
        <v>7</v>
      </c>
      <c r="AB55" s="28">
        <v>7</v>
      </c>
      <c r="AC55" s="29">
        <v>-5</v>
      </c>
      <c r="AD55" s="30">
        <v>0</v>
      </c>
      <c r="AE55" s="28">
        <v>7</v>
      </c>
      <c r="AF55" s="28">
        <v>7</v>
      </c>
      <c r="AG55" s="28">
        <v>10</v>
      </c>
      <c r="AH55" s="28">
        <v>10</v>
      </c>
      <c r="AI55" s="28">
        <v>0</v>
      </c>
      <c r="AJ55" s="28">
        <v>0</v>
      </c>
      <c r="AK55" s="28">
        <v>7</v>
      </c>
      <c r="AL55" s="29">
        <v>1</v>
      </c>
      <c r="AM55" s="30">
        <v>0</v>
      </c>
    </row>
    <row r="56" spans="1:39" s="1" customFormat="1" ht="16.5" customHeight="1">
      <c r="A56" s="31" t="s">
        <v>209</v>
      </c>
      <c r="B56" s="32">
        <v>11</v>
      </c>
      <c r="C56" s="32">
        <v>18004334</v>
      </c>
      <c r="D56" s="28">
        <v>7</v>
      </c>
      <c r="E56" s="28">
        <v>7</v>
      </c>
      <c r="F56" s="28">
        <v>10</v>
      </c>
      <c r="G56" s="28">
        <v>10</v>
      </c>
      <c r="H56" s="28">
        <v>0</v>
      </c>
      <c r="I56" s="28">
        <v>0</v>
      </c>
      <c r="J56" s="28">
        <v>7</v>
      </c>
      <c r="K56" s="29">
        <v>-1</v>
      </c>
      <c r="L56" s="29">
        <v>10</v>
      </c>
      <c r="M56" s="28">
        <v>7</v>
      </c>
      <c r="N56" s="28">
        <v>7</v>
      </c>
      <c r="O56" s="28">
        <v>7</v>
      </c>
      <c r="P56" s="28">
        <v>10</v>
      </c>
      <c r="Q56" s="28">
        <v>10</v>
      </c>
      <c r="R56" s="28">
        <v>0</v>
      </c>
      <c r="S56" s="28">
        <v>0</v>
      </c>
      <c r="T56" s="29">
        <v>1</v>
      </c>
      <c r="U56" s="30">
        <v>0</v>
      </c>
      <c r="V56" s="28">
        <v>7</v>
      </c>
      <c r="W56" s="28">
        <v>7</v>
      </c>
      <c r="X56" s="28">
        <v>7</v>
      </c>
      <c r="Y56" s="28">
        <v>7</v>
      </c>
      <c r="Z56" s="28">
        <v>10</v>
      </c>
      <c r="AA56" s="28">
        <v>10</v>
      </c>
      <c r="AB56" s="28">
        <v>0</v>
      </c>
      <c r="AC56" s="29">
        <v>8</v>
      </c>
      <c r="AD56" s="30">
        <v>0</v>
      </c>
      <c r="AE56" s="28">
        <v>0</v>
      </c>
      <c r="AF56" s="28">
        <v>7</v>
      </c>
      <c r="AG56" s="28">
        <v>7</v>
      </c>
      <c r="AH56" s="28">
        <v>7</v>
      </c>
      <c r="AI56" s="28">
        <v>7</v>
      </c>
      <c r="AJ56" s="28">
        <v>10</v>
      </c>
      <c r="AK56" s="28">
        <v>10</v>
      </c>
      <c r="AL56" s="29">
        <v>8</v>
      </c>
      <c r="AM56" s="30">
        <v>0</v>
      </c>
    </row>
    <row r="57" spans="1:39" s="1" customFormat="1" ht="16.5" customHeight="1">
      <c r="A57" s="31" t="s">
        <v>286</v>
      </c>
      <c r="B57" s="32">
        <v>11</v>
      </c>
      <c r="C57" s="32">
        <v>18004493</v>
      </c>
      <c r="D57" s="28">
        <v>0</v>
      </c>
      <c r="E57" s="28">
        <v>0</v>
      </c>
      <c r="F57" s="28">
        <v>8</v>
      </c>
      <c r="G57" s="28">
        <v>8</v>
      </c>
      <c r="H57" s="28">
        <v>8</v>
      </c>
      <c r="I57" s="28">
        <v>8</v>
      </c>
      <c r="J57" s="28">
        <v>8</v>
      </c>
      <c r="K57" s="29">
        <v>0</v>
      </c>
      <c r="L57" s="29">
        <v>8</v>
      </c>
      <c r="M57" s="28">
        <v>10</v>
      </c>
      <c r="N57" s="28">
        <v>0</v>
      </c>
      <c r="O57" s="28">
        <v>8</v>
      </c>
      <c r="P57" s="28">
        <v>8</v>
      </c>
      <c r="Q57" s="28">
        <v>8</v>
      </c>
      <c r="R57" s="28">
        <v>8</v>
      </c>
      <c r="S57" s="28">
        <v>8</v>
      </c>
      <c r="T57" s="29">
        <v>10</v>
      </c>
      <c r="U57" s="30">
        <v>0</v>
      </c>
      <c r="V57" s="28">
        <v>0</v>
      </c>
      <c r="W57" s="28">
        <v>0</v>
      </c>
      <c r="X57" s="28">
        <v>8</v>
      </c>
      <c r="Y57" s="28">
        <v>8</v>
      </c>
      <c r="Z57" s="28">
        <v>8</v>
      </c>
      <c r="AA57" s="28">
        <v>8</v>
      </c>
      <c r="AB57" s="28">
        <v>8</v>
      </c>
      <c r="AC57" s="29">
        <v>0</v>
      </c>
      <c r="AD57" s="30">
        <v>0</v>
      </c>
      <c r="AE57" s="28">
        <v>0</v>
      </c>
      <c r="AF57" s="28">
        <v>0</v>
      </c>
      <c r="AG57" s="28">
        <v>8</v>
      </c>
      <c r="AH57" s="28">
        <v>8</v>
      </c>
      <c r="AI57" s="28">
        <v>8</v>
      </c>
      <c r="AJ57" s="28">
        <v>8</v>
      </c>
      <c r="AK57" s="28">
        <v>8</v>
      </c>
      <c r="AL57" s="29">
        <v>0</v>
      </c>
      <c r="AM57" s="30">
        <v>0</v>
      </c>
    </row>
    <row r="58" spans="1:39" s="1" customFormat="1" ht="16.5" customHeight="1">
      <c r="A58" s="31" t="s">
        <v>274</v>
      </c>
      <c r="B58" s="32">
        <v>11</v>
      </c>
      <c r="C58" s="32">
        <v>18004597</v>
      </c>
      <c r="D58" s="28">
        <v>0</v>
      </c>
      <c r="E58" s="28">
        <v>0</v>
      </c>
      <c r="F58" s="28">
        <v>8</v>
      </c>
      <c r="G58" s="28">
        <v>8</v>
      </c>
      <c r="H58" s="28">
        <v>8</v>
      </c>
      <c r="I58" s="28">
        <v>8</v>
      </c>
      <c r="J58" s="28">
        <v>8</v>
      </c>
      <c r="K58" s="29">
        <v>0</v>
      </c>
      <c r="L58" s="29">
        <v>8</v>
      </c>
      <c r="M58" s="28">
        <v>8</v>
      </c>
      <c r="N58" s="28">
        <v>7</v>
      </c>
      <c r="O58" s="28">
        <v>8</v>
      </c>
      <c r="P58" s="28">
        <v>8</v>
      </c>
      <c r="Q58" s="28">
        <v>8</v>
      </c>
      <c r="R58" s="28">
        <v>8</v>
      </c>
      <c r="S58" s="28">
        <v>8</v>
      </c>
      <c r="T58" s="29">
        <v>15</v>
      </c>
      <c r="U58" s="30">
        <v>0</v>
      </c>
      <c r="V58" s="28">
        <v>0</v>
      </c>
      <c r="W58" s="28">
        <v>0</v>
      </c>
      <c r="X58" s="28">
        <v>8</v>
      </c>
      <c r="Y58" s="28">
        <v>8</v>
      </c>
      <c r="Z58" s="28">
        <v>8</v>
      </c>
      <c r="AA58" s="28">
        <v>8</v>
      </c>
      <c r="AB58" s="28">
        <v>8</v>
      </c>
      <c r="AC58" s="29">
        <v>0</v>
      </c>
      <c r="AD58" s="30">
        <v>0</v>
      </c>
      <c r="AE58" s="28">
        <v>0</v>
      </c>
      <c r="AF58" s="28">
        <v>0</v>
      </c>
      <c r="AG58" s="28">
        <v>8</v>
      </c>
      <c r="AH58" s="28">
        <v>8</v>
      </c>
      <c r="AI58" s="28">
        <v>8</v>
      </c>
      <c r="AJ58" s="28">
        <v>8</v>
      </c>
      <c r="AK58" s="28">
        <v>8</v>
      </c>
      <c r="AL58" s="29">
        <v>0</v>
      </c>
      <c r="AM58" s="30">
        <v>0</v>
      </c>
    </row>
    <row r="59" spans="1:39" s="1" customFormat="1" ht="16.5" customHeight="1">
      <c r="A59" s="31" t="s">
        <v>221</v>
      </c>
      <c r="B59" s="32">
        <v>12</v>
      </c>
      <c r="C59" s="32">
        <v>18004265</v>
      </c>
      <c r="D59" s="28">
        <v>10</v>
      </c>
      <c r="E59" s="28">
        <v>0</v>
      </c>
      <c r="F59" s="28">
        <v>0</v>
      </c>
      <c r="G59" s="28">
        <v>7</v>
      </c>
      <c r="H59" s="28">
        <v>7</v>
      </c>
      <c r="I59" s="28">
        <v>7</v>
      </c>
      <c r="J59" s="28">
        <v>14</v>
      </c>
      <c r="K59" s="29">
        <v>13</v>
      </c>
      <c r="L59" s="29">
        <v>0</v>
      </c>
      <c r="M59" s="28">
        <v>10</v>
      </c>
      <c r="N59" s="28">
        <v>0</v>
      </c>
      <c r="O59" s="28">
        <v>14</v>
      </c>
      <c r="P59" s="28">
        <v>10</v>
      </c>
      <c r="Q59" s="28">
        <v>0</v>
      </c>
      <c r="R59" s="28">
        <v>14</v>
      </c>
      <c r="S59" s="28">
        <v>10</v>
      </c>
      <c r="T59" s="29">
        <v>18</v>
      </c>
      <c r="U59" s="30">
        <v>0</v>
      </c>
      <c r="V59" s="28">
        <v>0</v>
      </c>
      <c r="W59" s="28">
        <v>14</v>
      </c>
      <c r="X59" s="28">
        <v>10</v>
      </c>
      <c r="Y59" s="28">
        <v>0</v>
      </c>
      <c r="Z59" s="28">
        <v>14</v>
      </c>
      <c r="AA59" s="28">
        <v>10</v>
      </c>
      <c r="AB59" s="28">
        <v>0</v>
      </c>
      <c r="AC59" s="29">
        <v>8</v>
      </c>
      <c r="AD59" s="30">
        <v>0</v>
      </c>
      <c r="AE59" s="28">
        <v>7</v>
      </c>
      <c r="AF59" s="28">
        <v>7</v>
      </c>
      <c r="AG59" s="28">
        <v>10</v>
      </c>
      <c r="AH59" s="28">
        <v>10</v>
      </c>
      <c r="AI59" s="28">
        <v>0</v>
      </c>
      <c r="AJ59" s="28">
        <v>0</v>
      </c>
      <c r="AK59" s="28">
        <v>7</v>
      </c>
      <c r="AL59" s="29">
        <v>1</v>
      </c>
      <c r="AM59" s="30">
        <v>0</v>
      </c>
    </row>
    <row r="60" spans="1:39" s="1" customFormat="1" ht="16.5" customHeight="1">
      <c r="A60" s="31" t="s">
        <v>220</v>
      </c>
      <c r="B60" s="32">
        <v>12</v>
      </c>
      <c r="C60" s="32">
        <v>18004463</v>
      </c>
      <c r="D60" s="28">
        <v>7</v>
      </c>
      <c r="E60" s="28">
        <v>10</v>
      </c>
      <c r="F60" s="28">
        <v>10</v>
      </c>
      <c r="G60" s="28">
        <v>0</v>
      </c>
      <c r="H60" s="28">
        <v>0</v>
      </c>
      <c r="I60" s="28">
        <v>7</v>
      </c>
      <c r="J60" s="28" t="s">
        <v>68</v>
      </c>
      <c r="K60" s="29">
        <v>0</v>
      </c>
      <c r="L60" s="29">
        <v>10</v>
      </c>
      <c r="M60" s="28">
        <v>0</v>
      </c>
      <c r="N60" s="28">
        <v>0</v>
      </c>
      <c r="O60" s="28" t="s">
        <v>68</v>
      </c>
      <c r="P60" s="28" t="s">
        <v>68</v>
      </c>
      <c r="Q60" s="28" t="s">
        <v>68</v>
      </c>
      <c r="R60" s="28" t="s">
        <v>68</v>
      </c>
      <c r="S60" s="28" t="s">
        <v>68</v>
      </c>
      <c r="T60" s="29">
        <v>0</v>
      </c>
      <c r="U60" s="30">
        <v>0</v>
      </c>
      <c r="V60" s="28">
        <v>0</v>
      </c>
      <c r="W60" s="28">
        <v>0</v>
      </c>
      <c r="X60" s="28" t="s">
        <v>68</v>
      </c>
      <c r="Y60" s="28" t="s">
        <v>68</v>
      </c>
      <c r="Z60" s="28" t="s">
        <v>68</v>
      </c>
      <c r="AA60" s="28" t="s">
        <v>68</v>
      </c>
      <c r="AB60" s="28">
        <v>0</v>
      </c>
      <c r="AC60" s="29">
        <v>-8</v>
      </c>
      <c r="AD60" s="30">
        <v>0</v>
      </c>
      <c r="AE60" s="28">
        <v>7</v>
      </c>
      <c r="AF60" s="28">
        <v>7</v>
      </c>
      <c r="AG60" s="28">
        <v>7</v>
      </c>
      <c r="AH60" s="28">
        <v>7</v>
      </c>
      <c r="AI60" s="28">
        <v>10</v>
      </c>
      <c r="AJ60" s="28">
        <v>10</v>
      </c>
      <c r="AK60" s="28">
        <v>0</v>
      </c>
      <c r="AL60" s="29">
        <v>8</v>
      </c>
      <c r="AM60" s="30">
        <v>0</v>
      </c>
    </row>
    <row r="61" spans="1:39" s="1" customFormat="1" ht="16.5" customHeight="1">
      <c r="A61" s="31" t="s">
        <v>215</v>
      </c>
      <c r="B61" s="32">
        <v>12</v>
      </c>
      <c r="C61" s="32">
        <v>18004524</v>
      </c>
      <c r="D61" s="28">
        <v>7</v>
      </c>
      <c r="E61" s="28">
        <v>7</v>
      </c>
      <c r="F61" s="28">
        <v>7</v>
      </c>
      <c r="G61" s="28">
        <v>10</v>
      </c>
      <c r="H61" s="28">
        <v>10</v>
      </c>
      <c r="I61" s="28">
        <v>0</v>
      </c>
      <c r="J61" s="28">
        <v>0</v>
      </c>
      <c r="K61" s="29">
        <v>2</v>
      </c>
      <c r="L61" s="29">
        <v>7</v>
      </c>
      <c r="M61" s="28">
        <v>14</v>
      </c>
      <c r="N61" s="28">
        <v>10</v>
      </c>
      <c r="O61" s="28">
        <v>0</v>
      </c>
      <c r="P61" s="28">
        <v>14</v>
      </c>
      <c r="Q61" s="28">
        <v>10</v>
      </c>
      <c r="R61" s="28">
        <v>0</v>
      </c>
      <c r="S61" s="28">
        <v>14</v>
      </c>
      <c r="T61" s="29">
        <v>22</v>
      </c>
      <c r="U61" s="30">
        <v>0</v>
      </c>
      <c r="V61" s="28">
        <v>10</v>
      </c>
      <c r="W61" s="28">
        <v>0</v>
      </c>
      <c r="X61" s="28">
        <v>14</v>
      </c>
      <c r="Y61" s="28">
        <v>10</v>
      </c>
      <c r="Z61" s="28">
        <v>0</v>
      </c>
      <c r="AA61" s="28">
        <v>14</v>
      </c>
      <c r="AB61" s="28">
        <v>10</v>
      </c>
      <c r="AC61" s="29">
        <v>18</v>
      </c>
      <c r="AD61" s="30">
        <v>0</v>
      </c>
      <c r="AE61" s="28">
        <v>0</v>
      </c>
      <c r="AF61" s="28">
        <v>0</v>
      </c>
      <c r="AG61" s="28">
        <v>7</v>
      </c>
      <c r="AH61" s="28">
        <v>7</v>
      </c>
      <c r="AI61" s="28">
        <v>7</v>
      </c>
      <c r="AJ61" s="28">
        <v>7</v>
      </c>
      <c r="AK61" s="28">
        <v>10</v>
      </c>
      <c r="AL61" s="29">
        <v>-2</v>
      </c>
      <c r="AM61" s="30">
        <v>0</v>
      </c>
    </row>
    <row r="62" spans="1:39" s="1" customFormat="1" ht="16.5" customHeight="1">
      <c r="A62" s="31" t="s">
        <v>213</v>
      </c>
      <c r="B62" s="32">
        <v>12</v>
      </c>
      <c r="C62" s="32">
        <v>18004533</v>
      </c>
      <c r="D62" s="28">
        <v>0</v>
      </c>
      <c r="E62" s="28">
        <v>7</v>
      </c>
      <c r="F62" s="28">
        <v>7</v>
      </c>
      <c r="G62" s="28">
        <v>7</v>
      </c>
      <c r="H62" s="28">
        <v>7</v>
      </c>
      <c r="I62" s="28">
        <v>10</v>
      </c>
      <c r="J62" s="28">
        <v>10</v>
      </c>
      <c r="K62" s="29">
        <v>9</v>
      </c>
      <c r="L62" s="29">
        <v>7</v>
      </c>
      <c r="M62" s="28">
        <v>0</v>
      </c>
      <c r="N62" s="28">
        <v>14</v>
      </c>
      <c r="O62" s="28">
        <v>10</v>
      </c>
      <c r="P62" s="28">
        <v>0</v>
      </c>
      <c r="Q62" s="28">
        <v>14</v>
      </c>
      <c r="R62" s="28">
        <v>10</v>
      </c>
      <c r="S62" s="28">
        <v>0</v>
      </c>
      <c r="T62" s="29">
        <v>8</v>
      </c>
      <c r="U62" s="30">
        <v>0</v>
      </c>
      <c r="V62" s="28">
        <v>14</v>
      </c>
      <c r="W62" s="28">
        <v>10</v>
      </c>
      <c r="X62" s="28" t="s">
        <v>363</v>
      </c>
      <c r="Y62" s="28">
        <v>14</v>
      </c>
      <c r="Z62" s="28">
        <v>10</v>
      </c>
      <c r="AA62" s="28">
        <v>0</v>
      </c>
      <c r="AB62" s="28">
        <v>14</v>
      </c>
      <c r="AC62" s="29">
        <v>22</v>
      </c>
      <c r="AD62" s="30">
        <v>0</v>
      </c>
      <c r="AE62" s="28">
        <v>7</v>
      </c>
      <c r="AF62" s="28">
        <v>7</v>
      </c>
      <c r="AG62" s="28">
        <v>10</v>
      </c>
      <c r="AH62" s="28">
        <v>10</v>
      </c>
      <c r="AI62" s="28">
        <v>0</v>
      </c>
      <c r="AJ62" s="28">
        <v>0</v>
      </c>
      <c r="AK62" s="28">
        <v>7</v>
      </c>
      <c r="AL62" s="29">
        <v>1</v>
      </c>
      <c r="AM62" s="30">
        <v>0</v>
      </c>
    </row>
    <row r="63" spans="1:39" s="1" customFormat="1" ht="16.5" customHeight="1">
      <c r="A63" s="31" t="s">
        <v>223</v>
      </c>
      <c r="B63" s="32">
        <v>12</v>
      </c>
      <c r="C63" s="32">
        <v>18004266</v>
      </c>
      <c r="D63" s="28">
        <v>10</v>
      </c>
      <c r="E63" s="28">
        <v>0</v>
      </c>
      <c r="F63" s="28">
        <v>0</v>
      </c>
      <c r="G63" s="28">
        <v>7</v>
      </c>
      <c r="H63" s="28">
        <v>7</v>
      </c>
      <c r="I63" s="28">
        <v>7</v>
      </c>
      <c r="J63" s="28">
        <v>7</v>
      </c>
      <c r="K63" s="29">
        <v>6</v>
      </c>
      <c r="L63" s="29">
        <v>0</v>
      </c>
      <c r="M63" s="28">
        <v>10</v>
      </c>
      <c r="N63" s="28">
        <v>10</v>
      </c>
      <c r="O63" s="28">
        <v>0</v>
      </c>
      <c r="P63" s="28">
        <v>0</v>
      </c>
      <c r="Q63" s="28">
        <v>7</v>
      </c>
      <c r="R63" s="28">
        <v>7</v>
      </c>
      <c r="S63" s="28">
        <v>7</v>
      </c>
      <c r="T63" s="29">
        <v>1</v>
      </c>
      <c r="U63" s="30">
        <v>0</v>
      </c>
      <c r="V63" s="28">
        <v>7</v>
      </c>
      <c r="W63" s="28">
        <v>10</v>
      </c>
      <c r="X63" s="28">
        <v>10</v>
      </c>
      <c r="Y63" s="28">
        <v>0</v>
      </c>
      <c r="Z63" s="28">
        <v>0</v>
      </c>
      <c r="AA63" s="28">
        <v>7</v>
      </c>
      <c r="AB63" s="28">
        <v>7</v>
      </c>
      <c r="AC63" s="29">
        <v>1</v>
      </c>
      <c r="AD63" s="30">
        <v>0</v>
      </c>
      <c r="AE63" s="28">
        <v>7</v>
      </c>
      <c r="AF63" s="28">
        <v>7</v>
      </c>
      <c r="AG63" s="28">
        <v>10</v>
      </c>
      <c r="AH63" s="28">
        <v>10</v>
      </c>
      <c r="AI63" s="28">
        <v>0</v>
      </c>
      <c r="AJ63" s="28">
        <v>0</v>
      </c>
      <c r="AK63" s="28">
        <v>7</v>
      </c>
      <c r="AL63" s="29">
        <v>1</v>
      </c>
      <c r="AM63" s="30">
        <v>0</v>
      </c>
    </row>
    <row r="64" spans="1:39" s="1" customFormat="1" ht="16.5" customHeight="1">
      <c r="A64" s="31" t="s">
        <v>114</v>
      </c>
      <c r="B64" s="32">
        <v>12</v>
      </c>
      <c r="C64" s="32">
        <v>18006051</v>
      </c>
      <c r="D64" s="28">
        <v>0</v>
      </c>
      <c r="E64" s="28">
        <v>7</v>
      </c>
      <c r="F64" s="28">
        <v>7</v>
      </c>
      <c r="G64" s="28">
        <v>7</v>
      </c>
      <c r="H64" s="28">
        <v>7</v>
      </c>
      <c r="I64" s="28">
        <v>10</v>
      </c>
      <c r="J64" s="28">
        <v>10</v>
      </c>
      <c r="K64" s="29">
        <v>9</v>
      </c>
      <c r="L64" s="29">
        <v>7</v>
      </c>
      <c r="M64" s="28">
        <v>0</v>
      </c>
      <c r="N64" s="28">
        <v>0</v>
      </c>
      <c r="O64" s="28">
        <v>7</v>
      </c>
      <c r="P64" s="28">
        <v>7</v>
      </c>
      <c r="Q64" s="28">
        <v>7</v>
      </c>
      <c r="R64" s="28">
        <v>7</v>
      </c>
      <c r="S64" s="28">
        <v>10</v>
      </c>
      <c r="T64" s="29">
        <v>-2</v>
      </c>
      <c r="U64" s="30">
        <v>0</v>
      </c>
      <c r="V64" s="28">
        <v>10</v>
      </c>
      <c r="W64" s="28">
        <v>0</v>
      </c>
      <c r="X64" s="28">
        <v>0</v>
      </c>
      <c r="Y64" s="28">
        <v>7</v>
      </c>
      <c r="Z64" s="28">
        <v>7</v>
      </c>
      <c r="AA64" s="28">
        <v>7</v>
      </c>
      <c r="AB64" s="28">
        <v>7</v>
      </c>
      <c r="AC64" s="29">
        <v>-2</v>
      </c>
      <c r="AD64" s="30">
        <v>0</v>
      </c>
      <c r="AE64" s="28">
        <v>10</v>
      </c>
      <c r="AF64" s="28">
        <v>10</v>
      </c>
      <c r="AG64" s="28">
        <v>0</v>
      </c>
      <c r="AH64" s="28">
        <v>0</v>
      </c>
      <c r="AI64" s="28">
        <v>7</v>
      </c>
      <c r="AJ64" s="28">
        <v>7</v>
      </c>
      <c r="AK64" s="28">
        <v>7</v>
      </c>
      <c r="AL64" s="29">
        <v>1</v>
      </c>
      <c r="AM64" s="30">
        <v>0</v>
      </c>
    </row>
    <row r="65" spans="1:39" s="1" customFormat="1" ht="16.5" customHeight="1">
      <c r="A65" s="31" t="s">
        <v>222</v>
      </c>
      <c r="B65" s="32">
        <v>12</v>
      </c>
      <c r="C65" s="32">
        <v>18004362</v>
      </c>
      <c r="D65" s="28">
        <v>7</v>
      </c>
      <c r="E65" s="28">
        <v>10</v>
      </c>
      <c r="F65" s="28">
        <v>10</v>
      </c>
      <c r="G65" s="28">
        <v>0</v>
      </c>
      <c r="H65" s="28">
        <v>0</v>
      </c>
      <c r="I65" s="28">
        <v>7</v>
      </c>
      <c r="J65" s="28">
        <v>7</v>
      </c>
      <c r="K65" s="29">
        <v>-1</v>
      </c>
      <c r="L65" s="29">
        <v>10</v>
      </c>
      <c r="M65" s="28">
        <v>7</v>
      </c>
      <c r="N65" s="28">
        <v>7</v>
      </c>
      <c r="O65" s="28">
        <v>10</v>
      </c>
      <c r="P65" s="28">
        <v>10</v>
      </c>
      <c r="Q65" s="28">
        <v>0</v>
      </c>
      <c r="R65" s="28">
        <v>0</v>
      </c>
      <c r="S65" s="28">
        <v>7</v>
      </c>
      <c r="T65" s="29">
        <v>1</v>
      </c>
      <c r="U65" s="30">
        <v>0</v>
      </c>
      <c r="V65" s="28">
        <v>7</v>
      </c>
      <c r="W65" s="28">
        <v>7</v>
      </c>
      <c r="X65" s="28">
        <v>7</v>
      </c>
      <c r="Y65" s="28">
        <v>10</v>
      </c>
      <c r="Z65" s="28">
        <v>10</v>
      </c>
      <c r="AA65" s="28">
        <v>0</v>
      </c>
      <c r="AB65" s="28">
        <v>0</v>
      </c>
      <c r="AC65" s="29">
        <v>1</v>
      </c>
      <c r="AD65" s="30">
        <v>0</v>
      </c>
      <c r="AE65" s="28">
        <v>7</v>
      </c>
      <c r="AF65" s="28">
        <v>7</v>
      </c>
      <c r="AG65" s="28">
        <v>7</v>
      </c>
      <c r="AH65" s="28">
        <v>7</v>
      </c>
      <c r="AI65" s="28">
        <v>10</v>
      </c>
      <c r="AJ65" s="28">
        <v>10</v>
      </c>
      <c r="AK65" s="28">
        <v>0</v>
      </c>
      <c r="AL65" s="29">
        <v>8</v>
      </c>
      <c r="AM65" s="30">
        <v>0</v>
      </c>
    </row>
    <row r="66" spans="1:39" s="1" customFormat="1" ht="16.5" customHeight="1">
      <c r="A66" s="31" t="s">
        <v>218</v>
      </c>
      <c r="B66" s="32">
        <v>12</v>
      </c>
      <c r="C66" s="32">
        <v>18004488</v>
      </c>
      <c r="D66" s="28">
        <v>7</v>
      </c>
      <c r="E66" s="28">
        <v>7</v>
      </c>
      <c r="F66" s="28">
        <v>7</v>
      </c>
      <c r="G66" s="28">
        <v>10</v>
      </c>
      <c r="H66" s="28">
        <v>10</v>
      </c>
      <c r="I66" s="28">
        <v>0</v>
      </c>
      <c r="J66" s="28">
        <v>0</v>
      </c>
      <c r="K66" s="29">
        <v>2</v>
      </c>
      <c r="L66" s="29">
        <v>7</v>
      </c>
      <c r="M66" s="28">
        <v>7</v>
      </c>
      <c r="N66" s="28">
        <v>7</v>
      </c>
      <c r="O66" s="28">
        <v>7</v>
      </c>
      <c r="P66" s="28">
        <v>7</v>
      </c>
      <c r="Q66" s="28">
        <v>10</v>
      </c>
      <c r="R66" s="28">
        <v>10</v>
      </c>
      <c r="S66" s="28">
        <v>0</v>
      </c>
      <c r="T66" s="29">
        <v>8</v>
      </c>
      <c r="U66" s="30">
        <v>0</v>
      </c>
      <c r="V66" s="28">
        <v>0</v>
      </c>
      <c r="W66" s="28">
        <v>7</v>
      </c>
      <c r="X66" s="28">
        <v>7</v>
      </c>
      <c r="Y66" s="28">
        <v>7</v>
      </c>
      <c r="Z66" s="28">
        <v>7</v>
      </c>
      <c r="AA66" s="28">
        <v>10</v>
      </c>
      <c r="AB66" s="28">
        <v>10</v>
      </c>
      <c r="AC66" s="29">
        <v>8</v>
      </c>
      <c r="AD66" s="30">
        <v>0</v>
      </c>
      <c r="AE66" s="28">
        <v>0</v>
      </c>
      <c r="AF66" s="28">
        <v>0</v>
      </c>
      <c r="AG66" s="28">
        <v>7</v>
      </c>
      <c r="AH66" s="28">
        <v>7</v>
      </c>
      <c r="AI66" s="28">
        <v>7</v>
      </c>
      <c r="AJ66" s="28">
        <v>7</v>
      </c>
      <c r="AK66" s="28">
        <v>10</v>
      </c>
      <c r="AL66" s="29">
        <v>-2</v>
      </c>
      <c r="AM66" s="30">
        <v>0</v>
      </c>
    </row>
    <row r="67" spans="1:39" s="1" customFormat="1" ht="16.5" customHeight="1">
      <c r="A67" s="31" t="s">
        <v>226</v>
      </c>
      <c r="B67" s="32">
        <v>12</v>
      </c>
      <c r="C67" s="32">
        <v>18004301</v>
      </c>
      <c r="D67" s="28">
        <v>0</v>
      </c>
      <c r="E67" s="28">
        <v>0</v>
      </c>
      <c r="F67" s="28" t="s">
        <v>68</v>
      </c>
      <c r="G67" s="28" t="s">
        <v>68</v>
      </c>
      <c r="H67" s="28" t="s">
        <v>68</v>
      </c>
      <c r="I67" s="28" t="s">
        <v>68</v>
      </c>
      <c r="J67" s="28" t="s">
        <v>68</v>
      </c>
      <c r="K67" s="29">
        <v>0</v>
      </c>
      <c r="L67" s="29">
        <v>0</v>
      </c>
      <c r="M67" s="28">
        <v>0</v>
      </c>
      <c r="N67" s="28">
        <v>0</v>
      </c>
      <c r="O67" s="28" t="s">
        <v>68</v>
      </c>
      <c r="P67" s="28" t="s">
        <v>68</v>
      </c>
      <c r="Q67" s="28" t="s">
        <v>68</v>
      </c>
      <c r="R67" s="28" t="s">
        <v>68</v>
      </c>
      <c r="S67" s="28" t="s">
        <v>68</v>
      </c>
      <c r="T67" s="29">
        <v>0</v>
      </c>
      <c r="U67" s="30">
        <v>0</v>
      </c>
      <c r="V67" s="28">
        <v>0</v>
      </c>
      <c r="W67" s="28">
        <v>0</v>
      </c>
      <c r="X67" s="28" t="s">
        <v>68</v>
      </c>
      <c r="Y67" s="28" t="s">
        <v>68</v>
      </c>
      <c r="Z67" s="28">
        <v>10</v>
      </c>
      <c r="AA67" s="28">
        <v>0</v>
      </c>
      <c r="AB67" s="28">
        <v>14</v>
      </c>
      <c r="AC67" s="29">
        <v>0</v>
      </c>
      <c r="AD67" s="30">
        <v>0</v>
      </c>
      <c r="AE67" s="28">
        <v>10</v>
      </c>
      <c r="AF67" s="28">
        <v>0</v>
      </c>
      <c r="AG67" s="28">
        <v>14</v>
      </c>
      <c r="AH67" s="28">
        <v>10</v>
      </c>
      <c r="AI67" s="28">
        <v>0</v>
      </c>
      <c r="AJ67" s="28">
        <v>14</v>
      </c>
      <c r="AK67" s="28">
        <v>10</v>
      </c>
      <c r="AL67" s="29">
        <v>18</v>
      </c>
      <c r="AM67" s="30">
        <v>0</v>
      </c>
    </row>
    <row r="68" spans="1:39" s="1" customFormat="1" ht="16.5" customHeight="1">
      <c r="A68" s="31" t="s">
        <v>214</v>
      </c>
      <c r="B68" s="32">
        <v>12</v>
      </c>
      <c r="C68" s="32">
        <v>18004320</v>
      </c>
      <c r="D68" s="28">
        <v>0</v>
      </c>
      <c r="E68" s="28">
        <v>14</v>
      </c>
      <c r="F68" s="28">
        <v>10</v>
      </c>
      <c r="G68" s="28">
        <v>0</v>
      </c>
      <c r="H68" s="28">
        <v>14</v>
      </c>
      <c r="I68" s="28">
        <v>10</v>
      </c>
      <c r="J68" s="28">
        <v>0</v>
      </c>
      <c r="K68" s="29">
        <v>6</v>
      </c>
      <c r="L68" s="29">
        <v>10</v>
      </c>
      <c r="M68" s="28">
        <v>14</v>
      </c>
      <c r="N68" s="28">
        <v>10</v>
      </c>
      <c r="O68" s="28">
        <v>0</v>
      </c>
      <c r="P68" s="28">
        <v>14</v>
      </c>
      <c r="Q68" s="28">
        <v>10</v>
      </c>
      <c r="R68" s="28">
        <v>0</v>
      </c>
      <c r="S68" s="28">
        <v>14</v>
      </c>
      <c r="T68" s="29">
        <v>22</v>
      </c>
      <c r="U68" s="30">
        <v>0</v>
      </c>
      <c r="V68" s="28">
        <v>10</v>
      </c>
      <c r="W68" s="28">
        <v>0</v>
      </c>
      <c r="X68" s="28">
        <v>14</v>
      </c>
      <c r="Y68" s="28">
        <v>10</v>
      </c>
      <c r="Z68" s="28">
        <v>0</v>
      </c>
      <c r="AA68" s="28">
        <v>14</v>
      </c>
      <c r="AB68" s="28">
        <v>10</v>
      </c>
      <c r="AC68" s="29">
        <v>18</v>
      </c>
      <c r="AD68" s="30">
        <v>0</v>
      </c>
      <c r="AE68" s="28">
        <v>0</v>
      </c>
      <c r="AF68" s="28">
        <v>14</v>
      </c>
      <c r="AG68" s="28">
        <v>10</v>
      </c>
      <c r="AH68" s="28">
        <v>0</v>
      </c>
      <c r="AI68" s="28">
        <v>14</v>
      </c>
      <c r="AJ68" s="28">
        <v>10</v>
      </c>
      <c r="AK68" s="28">
        <v>0</v>
      </c>
      <c r="AL68" s="29">
        <v>8</v>
      </c>
      <c r="AM68" s="30">
        <v>0</v>
      </c>
    </row>
    <row r="69" spans="1:39" s="1" customFormat="1" ht="16.5" customHeight="1">
      <c r="A69" s="31" t="s">
        <v>225</v>
      </c>
      <c r="B69" s="32">
        <v>12</v>
      </c>
      <c r="C69" s="32">
        <v>18004344</v>
      </c>
      <c r="D69" s="28">
        <v>10</v>
      </c>
      <c r="E69" s="28">
        <v>0</v>
      </c>
      <c r="F69" s="28">
        <v>14</v>
      </c>
      <c r="G69" s="28">
        <v>10</v>
      </c>
      <c r="H69" s="28">
        <v>0</v>
      </c>
      <c r="I69" s="28">
        <v>14</v>
      </c>
      <c r="J69" s="28">
        <v>10</v>
      </c>
      <c r="K69" s="29">
        <v>12</v>
      </c>
      <c r="L69" s="29">
        <v>14</v>
      </c>
      <c r="M69" s="28">
        <v>0</v>
      </c>
      <c r="N69" s="28">
        <v>14</v>
      </c>
      <c r="O69" s="28">
        <v>10</v>
      </c>
      <c r="P69" s="28">
        <v>0</v>
      </c>
      <c r="Q69" s="28">
        <v>14</v>
      </c>
      <c r="R69" s="28">
        <v>10</v>
      </c>
      <c r="S69" s="28">
        <v>0</v>
      </c>
      <c r="T69" s="29">
        <v>8</v>
      </c>
      <c r="U69" s="30">
        <v>0</v>
      </c>
      <c r="V69" s="28">
        <v>14</v>
      </c>
      <c r="W69" s="28">
        <v>10</v>
      </c>
      <c r="X69" s="28">
        <v>0</v>
      </c>
      <c r="Y69" s="28">
        <v>14</v>
      </c>
      <c r="Z69" s="28" t="s">
        <v>68</v>
      </c>
      <c r="AA69" s="28" t="s">
        <v>68</v>
      </c>
      <c r="AB69" s="28" t="s">
        <v>68</v>
      </c>
      <c r="AC69" s="29">
        <v>22</v>
      </c>
      <c r="AD69" s="30">
        <v>0</v>
      </c>
      <c r="AE69" s="28">
        <v>0</v>
      </c>
      <c r="AF69" s="28">
        <v>0</v>
      </c>
      <c r="AG69" s="28" t="s">
        <v>68</v>
      </c>
      <c r="AH69" s="28" t="s">
        <v>68</v>
      </c>
      <c r="AI69" s="28" t="s">
        <v>68</v>
      </c>
      <c r="AJ69" s="28" t="s">
        <v>68</v>
      </c>
      <c r="AK69" s="28" t="s">
        <v>68</v>
      </c>
      <c r="AL69" s="29">
        <v>0</v>
      </c>
      <c r="AM69" s="30">
        <v>0</v>
      </c>
    </row>
    <row r="70" spans="1:39" s="1" customFormat="1" ht="16.5" customHeight="1">
      <c r="A70" s="31" t="s">
        <v>224</v>
      </c>
      <c r="B70" s="32">
        <v>12</v>
      </c>
      <c r="C70" s="32">
        <v>18004425</v>
      </c>
      <c r="D70" s="28">
        <v>14</v>
      </c>
      <c r="E70" s="28">
        <v>10</v>
      </c>
      <c r="F70" s="28">
        <v>0</v>
      </c>
      <c r="G70" s="28">
        <v>14</v>
      </c>
      <c r="H70" s="28">
        <v>10</v>
      </c>
      <c r="I70" s="28">
        <v>0</v>
      </c>
      <c r="J70" s="28">
        <v>14</v>
      </c>
      <c r="K70" s="29">
        <v>30</v>
      </c>
      <c r="L70" s="29">
        <v>0</v>
      </c>
      <c r="M70" s="28">
        <v>10</v>
      </c>
      <c r="N70" s="28">
        <v>0</v>
      </c>
      <c r="O70" s="28">
        <v>14</v>
      </c>
      <c r="P70" s="28">
        <v>10</v>
      </c>
      <c r="Q70" s="28">
        <v>0</v>
      </c>
      <c r="R70" s="28">
        <v>14</v>
      </c>
      <c r="S70" s="28">
        <v>10</v>
      </c>
      <c r="T70" s="29">
        <v>18</v>
      </c>
      <c r="U70" s="30">
        <v>0</v>
      </c>
      <c r="V70" s="28">
        <v>0</v>
      </c>
      <c r="W70" s="28">
        <v>14</v>
      </c>
      <c r="X70" s="28">
        <v>10</v>
      </c>
      <c r="Y70" s="28">
        <v>0</v>
      </c>
      <c r="Z70" s="28">
        <v>14</v>
      </c>
      <c r="AA70" s="28">
        <v>10</v>
      </c>
      <c r="AB70" s="28">
        <v>0</v>
      </c>
      <c r="AC70" s="29">
        <v>8</v>
      </c>
      <c r="AD70" s="30">
        <v>0</v>
      </c>
      <c r="AE70" s="28">
        <v>14</v>
      </c>
      <c r="AF70" s="28">
        <v>10</v>
      </c>
      <c r="AG70" s="28">
        <v>0</v>
      </c>
      <c r="AH70" s="28">
        <v>14</v>
      </c>
      <c r="AI70" s="28">
        <v>10</v>
      </c>
      <c r="AJ70" s="28">
        <v>0</v>
      </c>
      <c r="AK70" s="28">
        <v>14</v>
      </c>
      <c r="AL70" s="29">
        <v>22</v>
      </c>
      <c r="AM70" s="30">
        <v>0</v>
      </c>
    </row>
    <row r="71" spans="1:39" s="1" customFormat="1" ht="16.5" customHeight="1">
      <c r="A71" s="31" t="s">
        <v>227</v>
      </c>
      <c r="B71" s="32">
        <v>12</v>
      </c>
      <c r="C71" s="32">
        <v>18006052</v>
      </c>
      <c r="D71" s="28">
        <v>0</v>
      </c>
      <c r="E71" s="28">
        <v>7</v>
      </c>
      <c r="F71" s="28">
        <v>7</v>
      </c>
      <c r="G71" s="28">
        <v>7</v>
      </c>
      <c r="H71" s="28">
        <v>7</v>
      </c>
      <c r="I71" s="28">
        <v>10</v>
      </c>
      <c r="J71" s="28">
        <v>10</v>
      </c>
      <c r="K71" s="29">
        <v>9</v>
      </c>
      <c r="L71" s="29">
        <v>7</v>
      </c>
      <c r="M71" s="28">
        <v>0</v>
      </c>
      <c r="N71" s="28">
        <v>0</v>
      </c>
      <c r="O71" s="28">
        <v>7</v>
      </c>
      <c r="P71" s="28">
        <v>7</v>
      </c>
      <c r="Q71" s="28">
        <v>7</v>
      </c>
      <c r="R71" s="28">
        <v>7</v>
      </c>
      <c r="S71" s="28">
        <v>10</v>
      </c>
      <c r="T71" s="29">
        <v>-2</v>
      </c>
      <c r="U71" s="30">
        <v>0</v>
      </c>
      <c r="V71" s="28">
        <v>10</v>
      </c>
      <c r="W71" s="28">
        <v>0</v>
      </c>
      <c r="X71" s="28">
        <v>0</v>
      </c>
      <c r="Y71" s="28">
        <v>7</v>
      </c>
      <c r="Z71" s="28">
        <v>7</v>
      </c>
      <c r="AA71" s="28">
        <v>7</v>
      </c>
      <c r="AB71" s="28">
        <v>7</v>
      </c>
      <c r="AC71" s="29">
        <v>-2</v>
      </c>
      <c r="AD71" s="30">
        <v>0</v>
      </c>
      <c r="AE71" s="28">
        <v>10</v>
      </c>
      <c r="AF71" s="28">
        <v>10</v>
      </c>
      <c r="AG71" s="28">
        <v>0</v>
      </c>
      <c r="AH71" s="28">
        <v>0</v>
      </c>
      <c r="AI71" s="28">
        <v>7</v>
      </c>
      <c r="AJ71" s="28">
        <v>7</v>
      </c>
      <c r="AK71" s="28">
        <v>7</v>
      </c>
      <c r="AL71" s="29">
        <v>1</v>
      </c>
      <c r="AM71" s="30">
        <v>0</v>
      </c>
    </row>
    <row r="72" spans="1:39" s="1" customFormat="1" ht="16.5" customHeight="1">
      <c r="A72" s="31" t="s">
        <v>216</v>
      </c>
      <c r="B72" s="32">
        <v>12</v>
      </c>
      <c r="C72" s="32">
        <v>18004459</v>
      </c>
      <c r="D72" s="28">
        <v>10</v>
      </c>
      <c r="E72" s="28">
        <v>0</v>
      </c>
      <c r="F72" s="28">
        <v>0</v>
      </c>
      <c r="G72" s="28">
        <v>7</v>
      </c>
      <c r="H72" s="28">
        <v>7</v>
      </c>
      <c r="I72" s="28">
        <v>7</v>
      </c>
      <c r="J72" s="28">
        <v>7</v>
      </c>
      <c r="K72" s="29">
        <v>6</v>
      </c>
      <c r="L72" s="29">
        <v>0</v>
      </c>
      <c r="M72" s="28">
        <v>10</v>
      </c>
      <c r="N72" s="28">
        <v>10</v>
      </c>
      <c r="O72" s="28">
        <v>0</v>
      </c>
      <c r="P72" s="28">
        <v>0</v>
      </c>
      <c r="Q72" s="28">
        <v>7</v>
      </c>
      <c r="R72" s="28">
        <v>7</v>
      </c>
      <c r="S72" s="28">
        <v>7</v>
      </c>
      <c r="T72" s="29">
        <v>1</v>
      </c>
      <c r="U72" s="30">
        <v>0</v>
      </c>
      <c r="V72" s="28">
        <v>7</v>
      </c>
      <c r="W72" s="28">
        <v>10</v>
      </c>
      <c r="X72" s="28">
        <v>10</v>
      </c>
      <c r="Y72" s="28">
        <v>0</v>
      </c>
      <c r="Z72" s="28">
        <v>0</v>
      </c>
      <c r="AA72" s="28">
        <v>7</v>
      </c>
      <c r="AB72" s="28">
        <v>7</v>
      </c>
      <c r="AC72" s="29">
        <v>1</v>
      </c>
      <c r="AD72" s="30">
        <v>0</v>
      </c>
      <c r="AE72" s="28">
        <v>7</v>
      </c>
      <c r="AF72" s="28">
        <v>7</v>
      </c>
      <c r="AG72" s="28">
        <v>10</v>
      </c>
      <c r="AH72" s="28">
        <v>10</v>
      </c>
      <c r="AI72" s="28">
        <v>0</v>
      </c>
      <c r="AJ72" s="28">
        <v>0</v>
      </c>
      <c r="AK72" s="28">
        <v>7</v>
      </c>
      <c r="AL72" s="29">
        <v>1</v>
      </c>
      <c r="AM72" s="30">
        <v>0</v>
      </c>
    </row>
    <row r="73" spans="1:39" s="1" customFormat="1" ht="16.5" customHeight="1">
      <c r="A73" s="31" t="s">
        <v>132</v>
      </c>
      <c r="B73" s="32">
        <v>12</v>
      </c>
      <c r="C73" s="32">
        <v>18004410</v>
      </c>
      <c r="D73" s="28">
        <v>7</v>
      </c>
      <c r="E73" s="28">
        <v>10</v>
      </c>
      <c r="F73" s="28">
        <v>10</v>
      </c>
      <c r="G73" s="28">
        <v>0</v>
      </c>
      <c r="H73" s="28">
        <v>0</v>
      </c>
      <c r="I73" s="28">
        <v>7</v>
      </c>
      <c r="J73" s="28">
        <v>7</v>
      </c>
      <c r="K73" s="29">
        <v>-1</v>
      </c>
      <c r="L73" s="29">
        <v>10</v>
      </c>
      <c r="M73" s="28">
        <v>7</v>
      </c>
      <c r="N73" s="28">
        <v>7</v>
      </c>
      <c r="O73" s="28">
        <v>10</v>
      </c>
      <c r="P73" s="28">
        <v>10</v>
      </c>
      <c r="Q73" s="28">
        <v>0</v>
      </c>
      <c r="R73" s="28">
        <v>0</v>
      </c>
      <c r="S73" s="28">
        <v>7</v>
      </c>
      <c r="T73" s="29">
        <v>1</v>
      </c>
      <c r="U73" s="30">
        <v>0</v>
      </c>
      <c r="V73" s="28">
        <v>7</v>
      </c>
      <c r="W73" s="28">
        <v>7</v>
      </c>
      <c r="X73" s="28">
        <v>7</v>
      </c>
      <c r="Y73" s="28">
        <v>10</v>
      </c>
      <c r="Z73" s="28">
        <v>10</v>
      </c>
      <c r="AA73" s="28">
        <v>0</v>
      </c>
      <c r="AB73" s="28">
        <v>0</v>
      </c>
      <c r="AC73" s="29">
        <v>1</v>
      </c>
      <c r="AD73" s="30">
        <v>0</v>
      </c>
      <c r="AE73" s="28">
        <v>7</v>
      </c>
      <c r="AF73" s="28">
        <v>7</v>
      </c>
      <c r="AG73" s="28">
        <v>7</v>
      </c>
      <c r="AH73" s="28">
        <v>7</v>
      </c>
      <c r="AI73" s="28">
        <v>10</v>
      </c>
      <c r="AJ73" s="28">
        <v>10</v>
      </c>
      <c r="AK73" s="28">
        <v>0</v>
      </c>
      <c r="AL73" s="29">
        <v>8</v>
      </c>
      <c r="AM73" s="30">
        <v>0</v>
      </c>
    </row>
    <row r="74" spans="1:39" s="1" customFormat="1" ht="16.5" customHeight="1">
      <c r="A74" s="31" t="s">
        <v>219</v>
      </c>
      <c r="B74" s="32">
        <v>12</v>
      </c>
      <c r="C74" s="32">
        <v>18004532</v>
      </c>
      <c r="D74" s="28">
        <v>7</v>
      </c>
      <c r="E74" s="28">
        <v>7</v>
      </c>
      <c r="F74" s="28">
        <v>7</v>
      </c>
      <c r="G74" s="28">
        <v>10</v>
      </c>
      <c r="H74" s="28">
        <v>10</v>
      </c>
      <c r="I74" s="28">
        <v>0</v>
      </c>
      <c r="J74" s="28">
        <v>0</v>
      </c>
      <c r="K74" s="29">
        <v>2</v>
      </c>
      <c r="L74" s="29">
        <v>7</v>
      </c>
      <c r="M74" s="28">
        <v>7</v>
      </c>
      <c r="N74" s="28">
        <v>7</v>
      </c>
      <c r="O74" s="28">
        <v>7</v>
      </c>
      <c r="P74" s="28">
        <v>7</v>
      </c>
      <c r="Q74" s="28">
        <v>10</v>
      </c>
      <c r="R74" s="28">
        <v>10</v>
      </c>
      <c r="S74" s="28">
        <v>0</v>
      </c>
      <c r="T74" s="29">
        <v>8</v>
      </c>
      <c r="U74" s="30">
        <v>0</v>
      </c>
      <c r="V74" s="28">
        <v>0</v>
      </c>
      <c r="W74" s="28">
        <v>7</v>
      </c>
      <c r="X74" s="28">
        <v>7</v>
      </c>
      <c r="Y74" s="28">
        <v>7</v>
      </c>
      <c r="Z74" s="28">
        <v>7</v>
      </c>
      <c r="AA74" s="28">
        <v>10</v>
      </c>
      <c r="AB74" s="28">
        <v>10</v>
      </c>
      <c r="AC74" s="29">
        <v>8</v>
      </c>
      <c r="AD74" s="30">
        <v>0</v>
      </c>
      <c r="AE74" s="28">
        <v>0</v>
      </c>
      <c r="AF74" s="28">
        <v>0</v>
      </c>
      <c r="AG74" s="28">
        <v>7</v>
      </c>
      <c r="AH74" s="28">
        <v>7</v>
      </c>
      <c r="AI74" s="28">
        <v>7</v>
      </c>
      <c r="AJ74" s="28">
        <v>7</v>
      </c>
      <c r="AK74" s="28">
        <v>10</v>
      </c>
      <c r="AL74" s="29">
        <v>-2</v>
      </c>
      <c r="AM74" s="30">
        <v>0</v>
      </c>
    </row>
    <row r="75" spans="1:39" s="1" customFormat="1" ht="16.5" customHeight="1">
      <c r="A75" s="31" t="s">
        <v>282</v>
      </c>
      <c r="B75" s="32">
        <v>12</v>
      </c>
      <c r="C75" s="32">
        <v>18004636</v>
      </c>
      <c r="D75" s="28">
        <v>0</v>
      </c>
      <c r="E75" s="28">
        <v>7</v>
      </c>
      <c r="F75" s="28">
        <v>14</v>
      </c>
      <c r="G75" s="28">
        <v>10</v>
      </c>
      <c r="H75" s="28">
        <v>10</v>
      </c>
      <c r="I75" s="28">
        <v>0</v>
      </c>
      <c r="J75" s="28">
        <v>0</v>
      </c>
      <c r="K75" s="29">
        <v>-5</v>
      </c>
      <c r="L75" s="29">
        <v>14</v>
      </c>
      <c r="M75" s="28">
        <v>7</v>
      </c>
      <c r="N75" s="28">
        <v>14</v>
      </c>
      <c r="O75" s="28">
        <v>10</v>
      </c>
      <c r="P75" s="28">
        <v>10</v>
      </c>
      <c r="Q75" s="28">
        <v>0</v>
      </c>
      <c r="R75" s="28">
        <v>7</v>
      </c>
      <c r="S75" s="28">
        <v>7</v>
      </c>
      <c r="T75" s="29">
        <v>15</v>
      </c>
      <c r="U75" s="30">
        <v>0</v>
      </c>
      <c r="V75" s="28">
        <v>7</v>
      </c>
      <c r="W75" s="28">
        <v>10</v>
      </c>
      <c r="X75" s="28">
        <v>10</v>
      </c>
      <c r="Y75" s="28">
        <v>0</v>
      </c>
      <c r="Z75" s="28">
        <v>7</v>
      </c>
      <c r="AA75" s="28">
        <v>7</v>
      </c>
      <c r="AB75" s="28">
        <v>7</v>
      </c>
      <c r="AC75" s="29">
        <v>8</v>
      </c>
      <c r="AD75" s="30">
        <v>0</v>
      </c>
      <c r="AE75" s="28">
        <v>10</v>
      </c>
      <c r="AF75" s="28">
        <v>10</v>
      </c>
      <c r="AG75" s="28">
        <v>0</v>
      </c>
      <c r="AH75" s="28">
        <v>0</v>
      </c>
      <c r="AI75" s="28">
        <v>14</v>
      </c>
      <c r="AJ75" s="28">
        <v>7</v>
      </c>
      <c r="AK75" s="28">
        <v>10</v>
      </c>
      <c r="AL75" s="29">
        <v>11</v>
      </c>
      <c r="AM75" s="30">
        <v>0</v>
      </c>
    </row>
    <row r="76" spans="1:39" s="1" customFormat="1" ht="16.5" customHeight="1">
      <c r="A76" s="31" t="s">
        <v>272</v>
      </c>
      <c r="B76" s="32">
        <v>12</v>
      </c>
      <c r="C76" s="32">
        <v>18006057</v>
      </c>
      <c r="D76" s="28">
        <v>10</v>
      </c>
      <c r="E76" s="28">
        <v>0</v>
      </c>
      <c r="F76" s="28">
        <v>0</v>
      </c>
      <c r="G76" s="28">
        <v>14</v>
      </c>
      <c r="H76" s="28">
        <v>7</v>
      </c>
      <c r="I76" s="28">
        <v>10</v>
      </c>
      <c r="J76" s="28">
        <v>10</v>
      </c>
      <c r="K76" s="29">
        <v>19</v>
      </c>
      <c r="L76" s="29">
        <v>0</v>
      </c>
      <c r="M76" s="28">
        <v>0</v>
      </c>
      <c r="N76" s="28">
        <v>0</v>
      </c>
      <c r="O76" s="28">
        <v>7</v>
      </c>
      <c r="P76" s="28">
        <v>7</v>
      </c>
      <c r="Q76" s="28">
        <v>10</v>
      </c>
      <c r="R76" s="28">
        <v>10</v>
      </c>
      <c r="S76" s="28">
        <v>0</v>
      </c>
      <c r="T76" s="29">
        <v>-6</v>
      </c>
      <c r="U76" s="30">
        <v>0</v>
      </c>
      <c r="V76" s="28">
        <v>0</v>
      </c>
      <c r="W76" s="28">
        <v>14</v>
      </c>
      <c r="X76" s="28">
        <v>7</v>
      </c>
      <c r="Y76" s="28">
        <v>10</v>
      </c>
      <c r="Z76" s="28">
        <v>10</v>
      </c>
      <c r="AA76" s="28">
        <v>0</v>
      </c>
      <c r="AB76" s="28">
        <v>0</v>
      </c>
      <c r="AC76" s="29">
        <v>1</v>
      </c>
      <c r="AD76" s="30">
        <v>0</v>
      </c>
      <c r="AE76" s="28">
        <v>7</v>
      </c>
      <c r="AF76" s="28">
        <v>14</v>
      </c>
      <c r="AG76" s="28">
        <v>10</v>
      </c>
      <c r="AH76" s="28">
        <v>10</v>
      </c>
      <c r="AI76" s="28">
        <v>0</v>
      </c>
      <c r="AJ76" s="28">
        <v>0</v>
      </c>
      <c r="AK76" s="28">
        <v>7</v>
      </c>
      <c r="AL76" s="29">
        <v>8</v>
      </c>
      <c r="AM76" s="30">
        <v>0</v>
      </c>
    </row>
    <row r="77" spans="1:39" s="1" customFormat="1" ht="16.5" customHeight="1">
      <c r="A77" s="31" t="s">
        <v>8</v>
      </c>
      <c r="B77" s="32">
        <v>13</v>
      </c>
      <c r="C77" s="32">
        <v>18005748</v>
      </c>
      <c r="D77" s="28">
        <v>7</v>
      </c>
      <c r="E77" s="28">
        <v>10</v>
      </c>
      <c r="F77" s="28">
        <v>10</v>
      </c>
      <c r="G77" s="28">
        <v>0</v>
      </c>
      <c r="H77" s="28">
        <v>0</v>
      </c>
      <c r="I77" s="28">
        <v>7</v>
      </c>
      <c r="J77" s="28">
        <v>7</v>
      </c>
      <c r="K77" s="29">
        <v>-1</v>
      </c>
      <c r="L77" s="29">
        <v>10</v>
      </c>
      <c r="M77" s="28">
        <v>7</v>
      </c>
      <c r="N77" s="28">
        <v>7</v>
      </c>
      <c r="O77" s="28">
        <v>10</v>
      </c>
      <c r="P77" s="28">
        <v>10</v>
      </c>
      <c r="Q77" s="28">
        <v>0</v>
      </c>
      <c r="R77" s="28">
        <v>0</v>
      </c>
      <c r="S77" s="28">
        <v>14</v>
      </c>
      <c r="T77" s="29">
        <v>8</v>
      </c>
      <c r="U77" s="30">
        <v>0</v>
      </c>
      <c r="V77" s="28">
        <v>7</v>
      </c>
      <c r="W77" s="28">
        <v>7</v>
      </c>
      <c r="X77" s="28">
        <v>7</v>
      </c>
      <c r="Y77" s="28">
        <v>10</v>
      </c>
      <c r="Z77" s="28">
        <v>10</v>
      </c>
      <c r="AA77" s="28">
        <v>0</v>
      </c>
      <c r="AB77" s="28">
        <v>0</v>
      </c>
      <c r="AC77" s="29">
        <v>1</v>
      </c>
      <c r="AD77" s="30">
        <v>0</v>
      </c>
      <c r="AE77" s="28">
        <v>7</v>
      </c>
      <c r="AF77" s="28">
        <v>7</v>
      </c>
      <c r="AG77" s="28">
        <v>7</v>
      </c>
      <c r="AH77" s="28">
        <v>7</v>
      </c>
      <c r="AI77" s="28">
        <v>10</v>
      </c>
      <c r="AJ77" s="28">
        <v>10</v>
      </c>
      <c r="AK77" s="28">
        <v>0</v>
      </c>
      <c r="AL77" s="29">
        <v>8</v>
      </c>
      <c r="AM77" s="30">
        <v>0</v>
      </c>
    </row>
    <row r="78" spans="1:39" s="1" customFormat="1" ht="16.5" customHeight="1">
      <c r="A78" s="31" t="s">
        <v>241</v>
      </c>
      <c r="B78" s="32">
        <v>13</v>
      </c>
      <c r="C78" s="32">
        <v>18005747</v>
      </c>
      <c r="D78" s="28">
        <v>7</v>
      </c>
      <c r="E78" s="28">
        <v>7</v>
      </c>
      <c r="F78" s="28">
        <v>0</v>
      </c>
      <c r="G78" s="28">
        <v>10</v>
      </c>
      <c r="H78" s="28">
        <v>10</v>
      </c>
      <c r="I78" s="28">
        <v>0</v>
      </c>
      <c r="J78" s="28">
        <v>0</v>
      </c>
      <c r="K78" s="29">
        <v>2</v>
      </c>
      <c r="L78" s="29">
        <v>0</v>
      </c>
      <c r="M78" s="28">
        <v>7</v>
      </c>
      <c r="N78" s="28">
        <v>7</v>
      </c>
      <c r="O78" s="28">
        <v>7</v>
      </c>
      <c r="P78" s="28">
        <v>7</v>
      </c>
      <c r="Q78" s="28">
        <v>10</v>
      </c>
      <c r="R78" s="28">
        <v>10</v>
      </c>
      <c r="S78" s="28">
        <v>0</v>
      </c>
      <c r="T78" s="29">
        <v>8</v>
      </c>
      <c r="U78" s="30">
        <v>0</v>
      </c>
      <c r="V78" s="28">
        <v>0</v>
      </c>
      <c r="W78" s="28">
        <v>7</v>
      </c>
      <c r="X78" s="28">
        <v>7</v>
      </c>
      <c r="Y78" s="28">
        <v>7</v>
      </c>
      <c r="Z78" s="28">
        <v>7</v>
      </c>
      <c r="AA78" s="28">
        <v>10</v>
      </c>
      <c r="AB78" s="28">
        <v>10</v>
      </c>
      <c r="AC78" s="29">
        <v>8</v>
      </c>
      <c r="AD78" s="30">
        <v>0</v>
      </c>
      <c r="AE78" s="28">
        <v>0</v>
      </c>
      <c r="AF78" s="28">
        <v>0</v>
      </c>
      <c r="AG78" s="28">
        <v>7</v>
      </c>
      <c r="AH78" s="28">
        <v>7</v>
      </c>
      <c r="AI78" s="28">
        <v>7</v>
      </c>
      <c r="AJ78" s="28">
        <v>7</v>
      </c>
      <c r="AK78" s="28">
        <v>10</v>
      </c>
      <c r="AL78" s="29">
        <v>-2</v>
      </c>
      <c r="AM78" s="30">
        <v>0</v>
      </c>
    </row>
    <row r="79" spans="1:39" s="1" customFormat="1" ht="16.5" customHeight="1">
      <c r="A79" s="31" t="s">
        <v>325</v>
      </c>
      <c r="B79" s="32">
        <v>13</v>
      </c>
      <c r="C79" s="32">
        <v>18008467</v>
      </c>
      <c r="D79" s="28">
        <v>0</v>
      </c>
      <c r="E79" s="28">
        <v>7</v>
      </c>
      <c r="F79" s="28">
        <v>0</v>
      </c>
      <c r="G79" s="28">
        <v>7</v>
      </c>
      <c r="H79" s="28">
        <v>7</v>
      </c>
      <c r="I79" s="28">
        <v>10</v>
      </c>
      <c r="J79" s="28">
        <v>10</v>
      </c>
      <c r="K79" s="29">
        <v>9</v>
      </c>
      <c r="L79" s="29">
        <v>0</v>
      </c>
      <c r="M79" s="28">
        <v>0</v>
      </c>
      <c r="N79" s="28">
        <v>0</v>
      </c>
      <c r="O79" s="28">
        <v>7</v>
      </c>
      <c r="P79" s="28">
        <v>7</v>
      </c>
      <c r="Q79" s="28">
        <v>7</v>
      </c>
      <c r="R79" s="28">
        <v>7</v>
      </c>
      <c r="S79" s="28">
        <v>10</v>
      </c>
      <c r="T79" s="29">
        <v>-2</v>
      </c>
      <c r="U79" s="30">
        <v>0</v>
      </c>
      <c r="V79" s="28">
        <v>10</v>
      </c>
      <c r="W79" s="28">
        <v>0</v>
      </c>
      <c r="X79" s="28">
        <v>0</v>
      </c>
      <c r="Y79" s="28">
        <v>7</v>
      </c>
      <c r="Z79" s="28">
        <v>7</v>
      </c>
      <c r="AA79" s="28">
        <v>7</v>
      </c>
      <c r="AB79" s="28">
        <v>7</v>
      </c>
      <c r="AC79" s="29">
        <v>-2</v>
      </c>
      <c r="AD79" s="30">
        <v>0</v>
      </c>
      <c r="AE79" s="28">
        <v>10</v>
      </c>
      <c r="AF79" s="28">
        <v>10</v>
      </c>
      <c r="AG79" s="28">
        <v>0</v>
      </c>
      <c r="AH79" s="28">
        <v>0</v>
      </c>
      <c r="AI79" s="28">
        <v>7</v>
      </c>
      <c r="AJ79" s="28">
        <v>7</v>
      </c>
      <c r="AK79" s="28">
        <v>7</v>
      </c>
      <c r="AL79" s="29">
        <v>1</v>
      </c>
      <c r="AM79" s="30">
        <v>0</v>
      </c>
    </row>
    <row r="80" spans="1:39" s="1" customFormat="1" ht="16.5" customHeight="1">
      <c r="A80" s="31" t="s">
        <v>228</v>
      </c>
      <c r="B80" s="32">
        <v>13</v>
      </c>
      <c r="C80" s="32">
        <v>18005739</v>
      </c>
      <c r="D80" s="28" t="s">
        <v>67</v>
      </c>
      <c r="E80" s="28" t="s">
        <v>68</v>
      </c>
      <c r="F80" s="28" t="s">
        <v>68</v>
      </c>
      <c r="G80" s="28" t="s">
        <v>68</v>
      </c>
      <c r="H80" s="28" t="s">
        <v>68</v>
      </c>
      <c r="I80" s="28">
        <v>10</v>
      </c>
      <c r="J80" s="28">
        <v>0</v>
      </c>
      <c r="K80" s="29">
        <v>-6</v>
      </c>
      <c r="L80" s="29">
        <v>0</v>
      </c>
      <c r="M80" s="28">
        <v>14</v>
      </c>
      <c r="N80" s="28">
        <v>10</v>
      </c>
      <c r="O80" s="28">
        <v>0</v>
      </c>
      <c r="P80" s="28">
        <v>14</v>
      </c>
      <c r="Q80" s="28">
        <v>10</v>
      </c>
      <c r="R80" s="28">
        <v>0</v>
      </c>
      <c r="S80" s="28">
        <v>14</v>
      </c>
      <c r="T80" s="29">
        <v>22</v>
      </c>
      <c r="U80" s="30">
        <v>0</v>
      </c>
      <c r="V80" s="28">
        <v>10</v>
      </c>
      <c r="W80" s="28">
        <v>0</v>
      </c>
      <c r="X80" s="28">
        <v>0</v>
      </c>
      <c r="Y80" s="28">
        <v>7</v>
      </c>
      <c r="Z80" s="28">
        <v>7</v>
      </c>
      <c r="AA80" s="28">
        <v>7</v>
      </c>
      <c r="AB80" s="28">
        <v>7</v>
      </c>
      <c r="AC80" s="29">
        <v>-2</v>
      </c>
      <c r="AD80" s="30">
        <v>0</v>
      </c>
      <c r="AE80" s="28">
        <v>10</v>
      </c>
      <c r="AF80" s="28">
        <v>10</v>
      </c>
      <c r="AG80" s="28">
        <v>0</v>
      </c>
      <c r="AH80" s="28">
        <v>0</v>
      </c>
      <c r="AI80" s="28">
        <v>7</v>
      </c>
      <c r="AJ80" s="28">
        <v>7</v>
      </c>
      <c r="AK80" s="28">
        <v>7</v>
      </c>
      <c r="AL80" s="29">
        <v>1</v>
      </c>
      <c r="AM80" s="30">
        <v>0</v>
      </c>
    </row>
    <row r="81" spans="1:39" s="1" customFormat="1" ht="16.5" customHeight="1">
      <c r="A81" s="31" t="s">
        <v>236</v>
      </c>
      <c r="B81" s="32">
        <v>13</v>
      </c>
      <c r="C81" s="32">
        <v>18004384</v>
      </c>
      <c r="D81" s="28">
        <v>10</v>
      </c>
      <c r="E81" s="28">
        <v>0</v>
      </c>
      <c r="F81" s="28">
        <v>0</v>
      </c>
      <c r="G81" s="28">
        <v>10</v>
      </c>
      <c r="H81" s="28">
        <v>0</v>
      </c>
      <c r="I81" s="28">
        <v>14</v>
      </c>
      <c r="J81" s="28">
        <v>10</v>
      </c>
      <c r="K81" s="29">
        <v>12</v>
      </c>
      <c r="L81" s="29">
        <v>0</v>
      </c>
      <c r="M81" s="28">
        <v>0</v>
      </c>
      <c r="N81" s="28">
        <v>14</v>
      </c>
      <c r="O81" s="28">
        <v>10</v>
      </c>
      <c r="P81" s="28">
        <v>0</v>
      </c>
      <c r="Q81" s="28">
        <v>14</v>
      </c>
      <c r="R81" s="28">
        <v>10</v>
      </c>
      <c r="S81" s="28">
        <v>0</v>
      </c>
      <c r="T81" s="29">
        <v>8</v>
      </c>
      <c r="U81" s="30">
        <v>0</v>
      </c>
      <c r="V81" s="28">
        <v>14</v>
      </c>
      <c r="W81" s="28">
        <v>10</v>
      </c>
      <c r="X81" s="28">
        <v>0</v>
      </c>
      <c r="Y81" s="28">
        <v>7</v>
      </c>
      <c r="Z81" s="28">
        <v>7</v>
      </c>
      <c r="AA81" s="28">
        <v>10</v>
      </c>
      <c r="AB81" s="28">
        <v>10</v>
      </c>
      <c r="AC81" s="29">
        <v>18</v>
      </c>
      <c r="AD81" s="30">
        <v>0</v>
      </c>
      <c r="AE81" s="28">
        <v>0</v>
      </c>
      <c r="AF81" s="28">
        <v>0</v>
      </c>
      <c r="AG81" s="28">
        <v>7</v>
      </c>
      <c r="AH81" s="28">
        <v>7</v>
      </c>
      <c r="AI81" s="28">
        <v>7</v>
      </c>
      <c r="AJ81" s="28">
        <v>7</v>
      </c>
      <c r="AK81" s="28">
        <v>10</v>
      </c>
      <c r="AL81" s="29">
        <v>-2</v>
      </c>
      <c r="AM81" s="30">
        <v>0</v>
      </c>
    </row>
    <row r="82" spans="1:39" s="1" customFormat="1" ht="16.5" customHeight="1">
      <c r="A82" s="31" t="s">
        <v>7</v>
      </c>
      <c r="B82" s="32">
        <v>13</v>
      </c>
      <c r="C82" s="32">
        <v>18005750</v>
      </c>
      <c r="D82" s="28">
        <v>14</v>
      </c>
      <c r="E82" s="28">
        <v>10</v>
      </c>
      <c r="F82" s="28">
        <v>0</v>
      </c>
      <c r="G82" s="28">
        <v>14</v>
      </c>
      <c r="H82" s="28">
        <v>10</v>
      </c>
      <c r="I82" s="28">
        <v>0</v>
      </c>
      <c r="J82" s="28">
        <v>14</v>
      </c>
      <c r="K82" s="29">
        <v>30</v>
      </c>
      <c r="L82" s="29">
        <v>0</v>
      </c>
      <c r="M82" s="28">
        <v>10</v>
      </c>
      <c r="N82" s="28">
        <v>0</v>
      </c>
      <c r="O82" s="28">
        <v>14</v>
      </c>
      <c r="P82" s="28">
        <v>10</v>
      </c>
      <c r="Q82" s="28">
        <v>0</v>
      </c>
      <c r="R82" s="28">
        <v>14</v>
      </c>
      <c r="S82" s="28">
        <v>10</v>
      </c>
      <c r="T82" s="29">
        <v>18</v>
      </c>
      <c r="U82" s="30">
        <v>0</v>
      </c>
      <c r="V82" s="28">
        <v>0</v>
      </c>
      <c r="W82" s="28">
        <v>14</v>
      </c>
      <c r="X82" s="28">
        <v>10</v>
      </c>
      <c r="Y82" s="28">
        <v>0</v>
      </c>
      <c r="Z82" s="28">
        <v>0</v>
      </c>
      <c r="AA82" s="28">
        <v>7</v>
      </c>
      <c r="AB82" s="28">
        <v>7</v>
      </c>
      <c r="AC82" s="29">
        <v>-2</v>
      </c>
      <c r="AD82" s="30">
        <v>0</v>
      </c>
      <c r="AE82" s="28">
        <v>7</v>
      </c>
      <c r="AF82" s="28">
        <v>7</v>
      </c>
      <c r="AG82" s="28">
        <v>10</v>
      </c>
      <c r="AH82" s="28">
        <v>10</v>
      </c>
      <c r="AI82" s="28">
        <v>0</v>
      </c>
      <c r="AJ82" s="28">
        <v>0</v>
      </c>
      <c r="AK82" s="28">
        <v>7</v>
      </c>
      <c r="AL82" s="29">
        <v>1</v>
      </c>
      <c r="AM82" s="30">
        <v>0</v>
      </c>
    </row>
    <row r="83" spans="1:39" s="1" customFormat="1" ht="16.5" customHeight="1">
      <c r="A83" s="31" t="s">
        <v>338</v>
      </c>
      <c r="B83" s="32">
        <v>13</v>
      </c>
      <c r="C83" s="32">
        <v>18004481</v>
      </c>
      <c r="D83" s="28">
        <v>0</v>
      </c>
      <c r="E83" s="28">
        <v>14</v>
      </c>
      <c r="F83" s="28">
        <v>0</v>
      </c>
      <c r="G83" s="28">
        <v>0</v>
      </c>
      <c r="H83" s="28">
        <v>0</v>
      </c>
      <c r="I83" s="28" t="s">
        <v>68</v>
      </c>
      <c r="J83" s="28" t="s">
        <v>68</v>
      </c>
      <c r="K83" s="29">
        <v>-2</v>
      </c>
      <c r="L83" s="29">
        <v>0</v>
      </c>
      <c r="M83" s="28" t="s">
        <v>68</v>
      </c>
      <c r="N83" s="28" t="s">
        <v>68</v>
      </c>
      <c r="O83" s="28" t="s">
        <v>68</v>
      </c>
      <c r="P83" s="28" t="s">
        <v>68</v>
      </c>
      <c r="Q83" s="28" t="s">
        <v>68</v>
      </c>
      <c r="R83" s="28" t="s">
        <v>68</v>
      </c>
      <c r="S83" s="28" t="s">
        <v>68</v>
      </c>
      <c r="T83" s="29">
        <v>0</v>
      </c>
      <c r="U83" s="30">
        <v>0</v>
      </c>
      <c r="V83" s="28" t="s">
        <v>68</v>
      </c>
      <c r="W83" s="28" t="s">
        <v>68</v>
      </c>
      <c r="X83" s="28">
        <v>14</v>
      </c>
      <c r="Y83" s="28">
        <v>10</v>
      </c>
      <c r="Z83" s="28">
        <v>10</v>
      </c>
      <c r="AA83" s="28">
        <v>0</v>
      </c>
      <c r="AB83" s="28">
        <v>0</v>
      </c>
      <c r="AC83" s="29">
        <v>-6</v>
      </c>
      <c r="AD83" s="30">
        <v>0</v>
      </c>
      <c r="AE83" s="28">
        <v>7</v>
      </c>
      <c r="AF83" s="28">
        <v>7</v>
      </c>
      <c r="AG83" s="28">
        <v>7</v>
      </c>
      <c r="AH83" s="28">
        <v>7</v>
      </c>
      <c r="AI83" s="28">
        <v>10</v>
      </c>
      <c r="AJ83" s="28">
        <v>10</v>
      </c>
      <c r="AK83" s="28">
        <v>0</v>
      </c>
      <c r="AL83" s="29">
        <v>8</v>
      </c>
      <c r="AM83" s="30">
        <v>0</v>
      </c>
    </row>
    <row r="84" spans="1:39" s="1" customFormat="1" ht="16.5" customHeight="1">
      <c r="A84" s="31" t="s">
        <v>246</v>
      </c>
      <c r="B84" s="32">
        <v>13</v>
      </c>
      <c r="C84" s="32">
        <v>18004093</v>
      </c>
      <c r="D84" s="28">
        <v>7</v>
      </c>
      <c r="E84" s="28">
        <v>0</v>
      </c>
      <c r="F84" s="28">
        <v>0</v>
      </c>
      <c r="G84" s="28">
        <v>7</v>
      </c>
      <c r="H84" s="28">
        <v>7</v>
      </c>
      <c r="I84" s="28">
        <v>7</v>
      </c>
      <c r="J84" s="28">
        <v>7</v>
      </c>
      <c r="K84" s="29">
        <v>3</v>
      </c>
      <c r="L84" s="29">
        <v>0</v>
      </c>
      <c r="M84" s="28">
        <v>7</v>
      </c>
      <c r="N84" s="28">
        <v>0</v>
      </c>
      <c r="O84" s="28">
        <v>7</v>
      </c>
      <c r="P84" s="28">
        <v>7</v>
      </c>
      <c r="Q84" s="28">
        <v>7</v>
      </c>
      <c r="R84" s="28">
        <v>7</v>
      </c>
      <c r="S84" s="28">
        <v>14</v>
      </c>
      <c r="T84" s="29">
        <v>9</v>
      </c>
      <c r="U84" s="30">
        <v>0</v>
      </c>
      <c r="V84" s="28">
        <v>7</v>
      </c>
      <c r="W84" s="28">
        <v>0</v>
      </c>
      <c r="X84" s="28">
        <v>7</v>
      </c>
      <c r="Y84" s="28">
        <v>7</v>
      </c>
      <c r="Z84" s="28" t="s">
        <v>68</v>
      </c>
      <c r="AA84" s="28" t="s">
        <v>68</v>
      </c>
      <c r="AB84" s="28" t="s">
        <v>68</v>
      </c>
      <c r="AC84" s="29">
        <v>5</v>
      </c>
      <c r="AD84" s="30">
        <v>0</v>
      </c>
      <c r="AE84" s="28" t="s">
        <v>68</v>
      </c>
      <c r="AF84" s="28" t="s">
        <v>68</v>
      </c>
      <c r="AG84" s="28" t="s">
        <v>68</v>
      </c>
      <c r="AH84" s="28" t="s">
        <v>68</v>
      </c>
      <c r="AI84" s="28" t="s">
        <v>68</v>
      </c>
      <c r="AJ84" s="28" t="s">
        <v>68</v>
      </c>
      <c r="AK84" s="28" t="s">
        <v>68</v>
      </c>
      <c r="AL84" s="29">
        <v>0</v>
      </c>
      <c r="AM84" s="30">
        <v>0</v>
      </c>
    </row>
    <row r="85" spans="1:39" s="1" customFormat="1" ht="16.5" customHeight="1">
      <c r="A85" s="31" t="s">
        <v>248</v>
      </c>
      <c r="B85" s="32">
        <v>13</v>
      </c>
      <c r="C85" s="32">
        <v>18005308</v>
      </c>
      <c r="D85" s="28">
        <v>10</v>
      </c>
      <c r="E85" s="28">
        <v>0</v>
      </c>
      <c r="F85" s="28">
        <v>0</v>
      </c>
      <c r="G85" s="28">
        <v>7</v>
      </c>
      <c r="H85" s="28">
        <v>7</v>
      </c>
      <c r="I85" s="28">
        <v>7</v>
      </c>
      <c r="J85" s="28">
        <v>7</v>
      </c>
      <c r="K85" s="29">
        <v>6</v>
      </c>
      <c r="L85" s="29">
        <v>0</v>
      </c>
      <c r="M85" s="28">
        <v>0</v>
      </c>
      <c r="N85" s="28">
        <v>10</v>
      </c>
      <c r="O85" s="28">
        <v>0</v>
      </c>
      <c r="P85" s="28">
        <v>0</v>
      </c>
      <c r="Q85" s="28">
        <v>7</v>
      </c>
      <c r="R85" s="28">
        <v>7</v>
      </c>
      <c r="S85" s="28">
        <v>14</v>
      </c>
      <c r="T85" s="29">
        <v>-2</v>
      </c>
      <c r="U85" s="30">
        <v>0</v>
      </c>
      <c r="V85" s="28">
        <v>7</v>
      </c>
      <c r="W85" s="28">
        <v>10</v>
      </c>
      <c r="X85" s="28">
        <v>10</v>
      </c>
      <c r="Y85" s="28">
        <v>0</v>
      </c>
      <c r="Z85" s="28">
        <v>0</v>
      </c>
      <c r="AA85" s="28">
        <v>7</v>
      </c>
      <c r="AB85" s="28">
        <v>7</v>
      </c>
      <c r="AC85" s="29">
        <v>1</v>
      </c>
      <c r="AD85" s="30">
        <v>0</v>
      </c>
      <c r="AE85" s="28">
        <v>7</v>
      </c>
      <c r="AF85" s="28">
        <v>7</v>
      </c>
      <c r="AG85" s="28">
        <v>10</v>
      </c>
      <c r="AH85" s="28">
        <v>10</v>
      </c>
      <c r="AI85" s="28">
        <v>0</v>
      </c>
      <c r="AJ85" s="28">
        <v>0</v>
      </c>
      <c r="AK85" s="28">
        <v>7</v>
      </c>
      <c r="AL85" s="29">
        <v>1</v>
      </c>
      <c r="AM85" s="30">
        <v>0</v>
      </c>
    </row>
    <row r="86" spans="1:39" s="1" customFormat="1" ht="16.5" customHeight="1">
      <c r="A86" s="31" t="s">
        <v>235</v>
      </c>
      <c r="B86" s="32">
        <v>13</v>
      </c>
      <c r="C86" s="32">
        <v>18004420</v>
      </c>
      <c r="D86" s="28">
        <v>10</v>
      </c>
      <c r="E86" s="28">
        <v>0</v>
      </c>
      <c r="F86" s="28">
        <v>0</v>
      </c>
      <c r="G86" s="28">
        <v>7</v>
      </c>
      <c r="H86" s="28">
        <v>7</v>
      </c>
      <c r="I86" s="28">
        <v>7</v>
      </c>
      <c r="J86" s="28">
        <v>7</v>
      </c>
      <c r="K86" s="29">
        <v>6</v>
      </c>
      <c r="L86" s="29">
        <v>0</v>
      </c>
      <c r="M86" s="28">
        <v>0</v>
      </c>
      <c r="N86" s="28">
        <v>10</v>
      </c>
      <c r="O86" s="28">
        <v>0</v>
      </c>
      <c r="P86" s="28">
        <v>0</v>
      </c>
      <c r="Q86" s="28">
        <v>7</v>
      </c>
      <c r="R86" s="28">
        <v>7</v>
      </c>
      <c r="S86" s="28">
        <v>14</v>
      </c>
      <c r="T86" s="29">
        <v>-2</v>
      </c>
      <c r="U86" s="30">
        <v>0</v>
      </c>
      <c r="V86" s="28">
        <v>7</v>
      </c>
      <c r="W86" s="28">
        <v>10</v>
      </c>
      <c r="X86" s="28">
        <v>10</v>
      </c>
      <c r="Y86" s="28">
        <v>0</v>
      </c>
      <c r="Z86" s="28">
        <v>0</v>
      </c>
      <c r="AA86" s="28">
        <v>7</v>
      </c>
      <c r="AB86" s="28">
        <v>7</v>
      </c>
      <c r="AC86" s="29">
        <v>1</v>
      </c>
      <c r="AD86" s="30">
        <v>0</v>
      </c>
      <c r="AE86" s="28">
        <v>7</v>
      </c>
      <c r="AF86" s="28">
        <v>7</v>
      </c>
      <c r="AG86" s="28">
        <v>10</v>
      </c>
      <c r="AH86" s="28">
        <v>10</v>
      </c>
      <c r="AI86" s="28">
        <v>0</v>
      </c>
      <c r="AJ86" s="28">
        <v>0</v>
      </c>
      <c r="AK86" s="28">
        <v>7</v>
      </c>
      <c r="AL86" s="29">
        <v>1</v>
      </c>
      <c r="AM86" s="30">
        <v>0</v>
      </c>
    </row>
    <row r="87" spans="1:39" s="1" customFormat="1" ht="16.5" customHeight="1">
      <c r="A87" s="31" t="s">
        <v>247</v>
      </c>
      <c r="B87" s="32">
        <v>13</v>
      </c>
      <c r="C87" s="32">
        <v>18004602</v>
      </c>
      <c r="D87" s="28">
        <v>7</v>
      </c>
      <c r="E87" s="28">
        <v>10</v>
      </c>
      <c r="F87" s="28">
        <v>0</v>
      </c>
      <c r="G87" s="28">
        <v>0</v>
      </c>
      <c r="H87" s="28">
        <v>0</v>
      </c>
      <c r="I87" s="28">
        <v>7</v>
      </c>
      <c r="J87" s="28">
        <v>7</v>
      </c>
      <c r="K87" s="29">
        <v>-1</v>
      </c>
      <c r="L87" s="29">
        <v>0</v>
      </c>
      <c r="M87" s="28">
        <v>10</v>
      </c>
      <c r="N87" s="28">
        <v>10</v>
      </c>
      <c r="O87" s="28">
        <v>0</v>
      </c>
      <c r="P87" s="28">
        <v>0</v>
      </c>
      <c r="Q87" s="28">
        <v>7</v>
      </c>
      <c r="R87" s="28">
        <v>7</v>
      </c>
      <c r="S87" s="28">
        <v>10</v>
      </c>
      <c r="T87" s="29">
        <v>4</v>
      </c>
      <c r="U87" s="30">
        <v>0</v>
      </c>
      <c r="V87" s="28">
        <v>10</v>
      </c>
      <c r="W87" s="28">
        <v>0</v>
      </c>
      <c r="X87" s="28">
        <v>0</v>
      </c>
      <c r="Y87" s="28">
        <v>7</v>
      </c>
      <c r="Z87" s="28">
        <v>14</v>
      </c>
      <c r="AA87" s="28">
        <v>10</v>
      </c>
      <c r="AB87" s="28">
        <v>0</v>
      </c>
      <c r="AC87" s="29">
        <v>1</v>
      </c>
      <c r="AD87" s="30">
        <v>0</v>
      </c>
      <c r="AE87" s="28">
        <v>14</v>
      </c>
      <c r="AF87" s="28">
        <v>10</v>
      </c>
      <c r="AG87" s="28">
        <v>0</v>
      </c>
      <c r="AH87" s="28">
        <v>14</v>
      </c>
      <c r="AI87" s="28">
        <v>10</v>
      </c>
      <c r="AJ87" s="28">
        <v>0</v>
      </c>
      <c r="AK87" s="28">
        <v>14</v>
      </c>
      <c r="AL87" s="29">
        <v>22</v>
      </c>
      <c r="AM87" s="30">
        <v>0</v>
      </c>
    </row>
    <row r="88" spans="1:39" s="1" customFormat="1" ht="16.5" customHeight="1">
      <c r="A88" s="31" t="s">
        <v>229</v>
      </c>
      <c r="B88" s="32">
        <v>13</v>
      </c>
      <c r="C88" s="32">
        <v>18004614</v>
      </c>
      <c r="D88" s="28">
        <v>0</v>
      </c>
      <c r="E88" s="28">
        <v>14</v>
      </c>
      <c r="F88" s="28">
        <v>0</v>
      </c>
      <c r="G88" s="28">
        <v>10</v>
      </c>
      <c r="H88" s="28">
        <v>10</v>
      </c>
      <c r="I88" s="28">
        <v>0</v>
      </c>
      <c r="J88" s="28">
        <v>0</v>
      </c>
      <c r="K88" s="29">
        <v>2</v>
      </c>
      <c r="L88" s="29">
        <v>0</v>
      </c>
      <c r="M88" s="28">
        <v>7</v>
      </c>
      <c r="N88" s="28">
        <v>14</v>
      </c>
      <c r="O88" s="28">
        <v>10</v>
      </c>
      <c r="P88" s="28">
        <v>10</v>
      </c>
      <c r="Q88" s="28">
        <v>0</v>
      </c>
      <c r="R88" s="28">
        <v>0</v>
      </c>
      <c r="S88" s="28">
        <v>14</v>
      </c>
      <c r="T88" s="29">
        <v>15</v>
      </c>
      <c r="U88" s="30">
        <v>0</v>
      </c>
      <c r="V88" s="28">
        <v>7</v>
      </c>
      <c r="W88" s="28">
        <v>10</v>
      </c>
      <c r="X88" s="28">
        <v>10</v>
      </c>
      <c r="Y88" s="28">
        <v>0</v>
      </c>
      <c r="Z88" s="28">
        <v>0</v>
      </c>
      <c r="AA88" s="28">
        <v>14</v>
      </c>
      <c r="AB88" s="28">
        <v>10</v>
      </c>
      <c r="AC88" s="29">
        <v>11</v>
      </c>
      <c r="AD88" s="30">
        <v>0</v>
      </c>
      <c r="AE88" s="28">
        <v>0</v>
      </c>
      <c r="AF88" s="28">
        <v>14</v>
      </c>
      <c r="AG88" s="28">
        <v>10</v>
      </c>
      <c r="AH88" s="28">
        <v>0</v>
      </c>
      <c r="AI88" s="28">
        <v>14</v>
      </c>
      <c r="AJ88" s="28">
        <v>10</v>
      </c>
      <c r="AK88" s="28">
        <v>0</v>
      </c>
      <c r="AL88" s="29">
        <v>8</v>
      </c>
      <c r="AM88" s="30">
        <v>0</v>
      </c>
    </row>
    <row r="89" spans="1:39" s="1" customFormat="1" ht="16.5" customHeight="1">
      <c r="A89" s="31" t="s">
        <v>234</v>
      </c>
      <c r="B89" s="32">
        <v>13</v>
      </c>
      <c r="C89" s="32">
        <v>18004251</v>
      </c>
      <c r="D89" s="28" t="s">
        <v>67</v>
      </c>
      <c r="E89" s="28" t="s">
        <v>68</v>
      </c>
      <c r="F89" s="28" t="s">
        <v>68</v>
      </c>
      <c r="G89" s="28" t="s">
        <v>68</v>
      </c>
      <c r="H89" s="28" t="s">
        <v>68</v>
      </c>
      <c r="I89" s="28">
        <v>7</v>
      </c>
      <c r="J89" s="28">
        <v>7</v>
      </c>
      <c r="K89" s="29">
        <v>-2</v>
      </c>
      <c r="L89" s="29">
        <v>0</v>
      </c>
      <c r="M89" s="28">
        <v>7</v>
      </c>
      <c r="N89" s="28">
        <v>7</v>
      </c>
      <c r="O89" s="28">
        <v>10</v>
      </c>
      <c r="P89" s="28">
        <v>10</v>
      </c>
      <c r="Q89" s="28">
        <v>0</v>
      </c>
      <c r="R89" s="28">
        <v>0</v>
      </c>
      <c r="S89" s="28">
        <v>14</v>
      </c>
      <c r="T89" s="29">
        <v>8</v>
      </c>
      <c r="U89" s="30">
        <v>0</v>
      </c>
      <c r="V89" s="28">
        <v>7</v>
      </c>
      <c r="W89" s="28">
        <v>10</v>
      </c>
      <c r="X89" s="28">
        <v>10</v>
      </c>
      <c r="Y89" s="28">
        <v>0</v>
      </c>
      <c r="Z89" s="28">
        <v>0</v>
      </c>
      <c r="AA89" s="28">
        <v>14</v>
      </c>
      <c r="AB89" s="28">
        <v>10</v>
      </c>
      <c r="AC89" s="29">
        <v>11</v>
      </c>
      <c r="AD89" s="30">
        <v>0</v>
      </c>
      <c r="AE89" s="28">
        <v>0</v>
      </c>
      <c r="AF89" s="28">
        <v>14</v>
      </c>
      <c r="AG89" s="28">
        <v>10</v>
      </c>
      <c r="AH89" s="28">
        <v>0</v>
      </c>
      <c r="AI89" s="28">
        <v>14</v>
      </c>
      <c r="AJ89" s="28">
        <v>10</v>
      </c>
      <c r="AK89" s="28">
        <v>0</v>
      </c>
      <c r="AL89" s="29">
        <v>8</v>
      </c>
      <c r="AM89" s="30">
        <v>0</v>
      </c>
    </row>
    <row r="90" spans="1:39" s="1" customFormat="1" ht="16.5" customHeight="1">
      <c r="A90" s="31" t="s">
        <v>240</v>
      </c>
      <c r="B90" s="32">
        <v>13</v>
      </c>
      <c r="C90" s="32">
        <v>18006056</v>
      </c>
      <c r="D90" s="28">
        <v>14</v>
      </c>
      <c r="E90" s="28">
        <v>10</v>
      </c>
      <c r="F90" s="28">
        <v>0</v>
      </c>
      <c r="G90" s="28">
        <v>14</v>
      </c>
      <c r="H90" s="28">
        <v>10</v>
      </c>
      <c r="I90" s="28">
        <v>0</v>
      </c>
      <c r="J90" s="28">
        <v>7</v>
      </c>
      <c r="K90" s="29">
        <v>23</v>
      </c>
      <c r="L90" s="29">
        <v>0</v>
      </c>
      <c r="M90" s="28">
        <v>10</v>
      </c>
      <c r="N90" s="28">
        <v>10</v>
      </c>
      <c r="O90" s="28">
        <v>0</v>
      </c>
      <c r="P90" s="28">
        <v>0</v>
      </c>
      <c r="Q90" s="28">
        <v>7</v>
      </c>
      <c r="R90" s="28">
        <v>7</v>
      </c>
      <c r="S90" s="28">
        <v>14</v>
      </c>
      <c r="T90" s="29">
        <v>8</v>
      </c>
      <c r="U90" s="30">
        <v>0</v>
      </c>
      <c r="V90" s="28">
        <v>7</v>
      </c>
      <c r="W90" s="28">
        <v>10</v>
      </c>
      <c r="X90" s="28">
        <v>10</v>
      </c>
      <c r="Y90" s="28">
        <v>0</v>
      </c>
      <c r="Z90" s="28">
        <v>0</v>
      </c>
      <c r="AA90" s="28">
        <v>7</v>
      </c>
      <c r="AB90" s="28">
        <v>7</v>
      </c>
      <c r="AC90" s="29">
        <v>1</v>
      </c>
      <c r="AD90" s="30">
        <v>0</v>
      </c>
      <c r="AE90" s="28">
        <v>7</v>
      </c>
      <c r="AF90" s="28">
        <v>7</v>
      </c>
      <c r="AG90" s="28">
        <v>10</v>
      </c>
      <c r="AH90" s="28">
        <v>10</v>
      </c>
      <c r="AI90" s="28">
        <v>0</v>
      </c>
      <c r="AJ90" s="28">
        <v>0</v>
      </c>
      <c r="AK90" s="28">
        <v>7</v>
      </c>
      <c r="AL90" s="29">
        <v>1</v>
      </c>
      <c r="AM90" s="30">
        <v>0</v>
      </c>
    </row>
    <row r="91" spans="1:39" s="1" customFormat="1" ht="16.5" customHeight="1">
      <c r="A91" s="31" t="s">
        <v>237</v>
      </c>
      <c r="B91" s="32">
        <v>13</v>
      </c>
      <c r="C91" s="32">
        <v>18004419</v>
      </c>
      <c r="D91" s="28">
        <v>10</v>
      </c>
      <c r="E91" s="28">
        <v>0</v>
      </c>
      <c r="F91" s="28">
        <v>0</v>
      </c>
      <c r="G91" s="28">
        <v>10</v>
      </c>
      <c r="H91" s="28">
        <v>0</v>
      </c>
      <c r="I91" s="28">
        <v>7</v>
      </c>
      <c r="J91" s="28">
        <v>10</v>
      </c>
      <c r="K91" s="29">
        <v>5</v>
      </c>
      <c r="L91" s="29">
        <v>0</v>
      </c>
      <c r="M91" s="28">
        <v>0</v>
      </c>
      <c r="N91" s="28">
        <v>0</v>
      </c>
      <c r="O91" s="28">
        <v>7</v>
      </c>
      <c r="P91" s="28">
        <v>7</v>
      </c>
      <c r="Q91" s="28">
        <v>7</v>
      </c>
      <c r="R91" s="28">
        <v>7</v>
      </c>
      <c r="S91" s="28">
        <v>10</v>
      </c>
      <c r="T91" s="29">
        <v>-2</v>
      </c>
      <c r="U91" s="30">
        <v>0</v>
      </c>
      <c r="V91" s="28">
        <v>10</v>
      </c>
      <c r="W91" s="28">
        <v>0</v>
      </c>
      <c r="X91" s="28">
        <v>0</v>
      </c>
      <c r="Y91" s="28">
        <v>7</v>
      </c>
      <c r="Z91" s="28">
        <v>7</v>
      </c>
      <c r="AA91" s="28">
        <v>7</v>
      </c>
      <c r="AB91" s="28">
        <v>7</v>
      </c>
      <c r="AC91" s="29">
        <v>-2</v>
      </c>
      <c r="AD91" s="30">
        <v>0</v>
      </c>
      <c r="AE91" s="28">
        <v>10</v>
      </c>
      <c r="AF91" s="28">
        <v>10</v>
      </c>
      <c r="AG91" s="28">
        <v>0</v>
      </c>
      <c r="AH91" s="28">
        <v>0</v>
      </c>
      <c r="AI91" s="28">
        <v>7</v>
      </c>
      <c r="AJ91" s="28">
        <v>7</v>
      </c>
      <c r="AK91" s="28">
        <v>7</v>
      </c>
      <c r="AL91" s="29">
        <v>1</v>
      </c>
      <c r="AM91" s="30">
        <v>0</v>
      </c>
    </row>
    <row r="92" spans="1:39" s="1" customFormat="1" ht="16.5" customHeight="1">
      <c r="A92" s="31" t="s">
        <v>239</v>
      </c>
      <c r="B92" s="32">
        <v>13</v>
      </c>
      <c r="C92" s="32">
        <v>18004476</v>
      </c>
      <c r="D92" s="28" t="s">
        <v>68</v>
      </c>
      <c r="E92" s="28" t="s">
        <v>68</v>
      </c>
      <c r="F92" s="28" t="s">
        <v>68</v>
      </c>
      <c r="G92" s="28" t="s">
        <v>68</v>
      </c>
      <c r="H92" s="28" t="s">
        <v>68</v>
      </c>
      <c r="I92" s="28" t="s">
        <v>68</v>
      </c>
      <c r="J92" s="28" t="s">
        <v>68</v>
      </c>
      <c r="K92" s="29">
        <v>0</v>
      </c>
      <c r="L92" s="29">
        <v>0</v>
      </c>
      <c r="M92" s="28" t="s">
        <v>68</v>
      </c>
      <c r="N92" s="28" t="s">
        <v>68</v>
      </c>
      <c r="O92" s="28">
        <v>7</v>
      </c>
      <c r="P92" s="28">
        <v>7</v>
      </c>
      <c r="Q92" s="28">
        <v>7</v>
      </c>
      <c r="R92" s="28">
        <v>7</v>
      </c>
      <c r="S92" s="28">
        <v>8</v>
      </c>
      <c r="T92" s="29">
        <v>-4</v>
      </c>
      <c r="U92" s="30">
        <v>0</v>
      </c>
      <c r="V92" s="28">
        <v>8</v>
      </c>
      <c r="W92" s="28">
        <v>0</v>
      </c>
      <c r="X92" s="28">
        <v>8</v>
      </c>
      <c r="Y92" s="28">
        <v>8</v>
      </c>
      <c r="Z92" s="28">
        <v>8</v>
      </c>
      <c r="AA92" s="28">
        <v>8</v>
      </c>
      <c r="AB92" s="28">
        <v>0</v>
      </c>
      <c r="AC92" s="29">
        <v>0</v>
      </c>
      <c r="AD92" s="30">
        <v>0</v>
      </c>
      <c r="AE92" s="28">
        <v>0</v>
      </c>
      <c r="AF92" s="28">
        <v>10</v>
      </c>
      <c r="AG92" s="28">
        <v>0</v>
      </c>
      <c r="AH92" s="28">
        <v>0</v>
      </c>
      <c r="AI92" s="28">
        <v>7</v>
      </c>
      <c r="AJ92" s="28">
        <v>7</v>
      </c>
      <c r="AK92" s="28">
        <v>7</v>
      </c>
      <c r="AL92" s="29">
        <v>-9</v>
      </c>
      <c r="AM92" s="30">
        <v>0</v>
      </c>
    </row>
    <row r="93" spans="1:39" s="1" customFormat="1" ht="16.5" customHeight="1">
      <c r="A93" s="31" t="s">
        <v>242</v>
      </c>
      <c r="B93" s="32">
        <v>13</v>
      </c>
      <c r="C93" s="32">
        <v>18004559</v>
      </c>
      <c r="D93" s="28">
        <v>0</v>
      </c>
      <c r="E93" s="28">
        <v>14</v>
      </c>
      <c r="F93" s="28">
        <v>0</v>
      </c>
      <c r="G93" s="28">
        <v>0</v>
      </c>
      <c r="H93" s="28">
        <v>14</v>
      </c>
      <c r="I93" s="28">
        <v>10</v>
      </c>
      <c r="J93" s="28">
        <v>0</v>
      </c>
      <c r="K93" s="29">
        <v>6</v>
      </c>
      <c r="L93" s="29">
        <v>0</v>
      </c>
      <c r="M93" s="28">
        <v>7</v>
      </c>
      <c r="N93" s="28">
        <v>7</v>
      </c>
      <c r="O93" s="28">
        <v>7</v>
      </c>
      <c r="P93" s="28">
        <v>7</v>
      </c>
      <c r="Q93" s="28">
        <v>10</v>
      </c>
      <c r="R93" s="28">
        <v>10</v>
      </c>
      <c r="S93" s="28">
        <v>0</v>
      </c>
      <c r="T93" s="29">
        <v>8</v>
      </c>
      <c r="U93" s="30">
        <v>0</v>
      </c>
      <c r="V93" s="28">
        <v>0</v>
      </c>
      <c r="W93" s="28">
        <v>7</v>
      </c>
      <c r="X93" s="28">
        <v>7</v>
      </c>
      <c r="Y93" s="28">
        <v>7</v>
      </c>
      <c r="Z93" s="28">
        <v>7</v>
      </c>
      <c r="AA93" s="28">
        <v>10</v>
      </c>
      <c r="AB93" s="28">
        <v>10</v>
      </c>
      <c r="AC93" s="29">
        <v>8</v>
      </c>
      <c r="AD93" s="30">
        <v>0</v>
      </c>
      <c r="AE93" s="28">
        <v>0</v>
      </c>
      <c r="AF93" s="28">
        <v>0</v>
      </c>
      <c r="AG93" s="28">
        <v>7</v>
      </c>
      <c r="AH93" s="28">
        <v>7</v>
      </c>
      <c r="AI93" s="28">
        <v>7</v>
      </c>
      <c r="AJ93" s="28">
        <v>7</v>
      </c>
      <c r="AK93" s="28">
        <v>10</v>
      </c>
      <c r="AL93" s="29">
        <v>-2</v>
      </c>
      <c r="AM93" s="30">
        <v>0</v>
      </c>
    </row>
    <row r="94" spans="1:39" s="1" customFormat="1" ht="16.5" customHeight="1">
      <c r="A94" s="31" t="s">
        <v>230</v>
      </c>
      <c r="B94" s="32">
        <v>13</v>
      </c>
      <c r="C94" s="32">
        <v>18005740</v>
      </c>
      <c r="D94" s="28">
        <v>7</v>
      </c>
      <c r="E94" s="28">
        <v>10</v>
      </c>
      <c r="F94" s="28">
        <v>0</v>
      </c>
      <c r="G94" s="28">
        <v>0</v>
      </c>
      <c r="H94" s="28">
        <v>0</v>
      </c>
      <c r="I94" s="28">
        <v>0</v>
      </c>
      <c r="J94" s="28">
        <v>7</v>
      </c>
      <c r="K94" s="29">
        <v>-8</v>
      </c>
      <c r="L94" s="29">
        <v>0</v>
      </c>
      <c r="M94" s="28">
        <v>7</v>
      </c>
      <c r="N94" s="28">
        <v>7</v>
      </c>
      <c r="O94" s="28">
        <v>10</v>
      </c>
      <c r="P94" s="28">
        <v>10</v>
      </c>
      <c r="Q94" s="28">
        <v>0</v>
      </c>
      <c r="R94" s="28">
        <v>0</v>
      </c>
      <c r="S94" s="28">
        <v>14</v>
      </c>
      <c r="T94" s="29">
        <v>8</v>
      </c>
      <c r="U94" s="30">
        <v>0</v>
      </c>
      <c r="V94" s="28">
        <v>7</v>
      </c>
      <c r="W94" s="28">
        <v>7</v>
      </c>
      <c r="X94" s="28">
        <v>7</v>
      </c>
      <c r="Y94" s="28">
        <v>10</v>
      </c>
      <c r="Z94" s="28">
        <v>10</v>
      </c>
      <c r="AA94" s="28">
        <v>0</v>
      </c>
      <c r="AB94" s="28">
        <v>0</v>
      </c>
      <c r="AC94" s="29">
        <v>1</v>
      </c>
      <c r="AD94" s="30">
        <v>0</v>
      </c>
      <c r="AE94" s="28">
        <v>7</v>
      </c>
      <c r="AF94" s="28">
        <v>7</v>
      </c>
      <c r="AG94" s="28">
        <v>7</v>
      </c>
      <c r="AH94" s="28">
        <v>7</v>
      </c>
      <c r="AI94" s="28">
        <v>10</v>
      </c>
      <c r="AJ94" s="28">
        <v>10</v>
      </c>
      <c r="AK94" s="28">
        <v>0</v>
      </c>
      <c r="AL94" s="29">
        <v>8</v>
      </c>
      <c r="AM94" s="30">
        <v>0</v>
      </c>
    </row>
    <row r="95" spans="1:39" s="1" customFormat="1" ht="16.5" customHeight="1">
      <c r="A95" s="31" t="s">
        <v>231</v>
      </c>
      <c r="B95" s="32">
        <v>13</v>
      </c>
      <c r="C95" s="32">
        <v>18005163</v>
      </c>
      <c r="D95" s="28">
        <v>10</v>
      </c>
      <c r="E95" s="28">
        <v>0</v>
      </c>
      <c r="F95" s="28">
        <v>0</v>
      </c>
      <c r="G95" s="28">
        <v>7</v>
      </c>
      <c r="H95" s="28">
        <v>7</v>
      </c>
      <c r="I95" s="28">
        <v>7</v>
      </c>
      <c r="J95" s="28">
        <v>7</v>
      </c>
      <c r="K95" s="29">
        <v>6</v>
      </c>
      <c r="L95" s="29">
        <v>0</v>
      </c>
      <c r="M95" s="28">
        <v>10</v>
      </c>
      <c r="N95" s="28">
        <v>10</v>
      </c>
      <c r="O95" s="28">
        <v>0</v>
      </c>
      <c r="P95" s="28">
        <v>0</v>
      </c>
      <c r="Q95" s="28">
        <v>7</v>
      </c>
      <c r="R95" s="28">
        <v>7</v>
      </c>
      <c r="S95" s="28">
        <v>14</v>
      </c>
      <c r="T95" s="29">
        <v>8</v>
      </c>
      <c r="U95" s="30">
        <v>0</v>
      </c>
      <c r="V95" s="28">
        <v>7</v>
      </c>
      <c r="W95" s="28">
        <v>10</v>
      </c>
      <c r="X95" s="28">
        <v>10</v>
      </c>
      <c r="Y95" s="28">
        <v>0</v>
      </c>
      <c r="Z95" s="28">
        <v>0</v>
      </c>
      <c r="AA95" s="28">
        <v>7</v>
      </c>
      <c r="AB95" s="28">
        <v>7</v>
      </c>
      <c r="AC95" s="29">
        <v>1</v>
      </c>
      <c r="AD95" s="30">
        <v>0</v>
      </c>
      <c r="AE95" s="28">
        <v>7</v>
      </c>
      <c r="AF95" s="28">
        <v>7</v>
      </c>
      <c r="AG95" s="28">
        <v>10</v>
      </c>
      <c r="AH95" s="28">
        <v>10</v>
      </c>
      <c r="AI95" s="28">
        <v>0</v>
      </c>
      <c r="AJ95" s="28">
        <v>0</v>
      </c>
      <c r="AK95" s="28">
        <v>7</v>
      </c>
      <c r="AL95" s="29">
        <v>1</v>
      </c>
      <c r="AM95" s="30">
        <v>0</v>
      </c>
    </row>
    <row r="96" spans="1:39" s="1" customFormat="1" ht="16.5" customHeight="1">
      <c r="A96" s="31" t="s">
        <v>9</v>
      </c>
      <c r="B96" s="32">
        <v>13</v>
      </c>
      <c r="C96" s="32">
        <v>18005746</v>
      </c>
      <c r="D96" s="28">
        <v>0</v>
      </c>
      <c r="E96" s="28">
        <v>7</v>
      </c>
      <c r="F96" s="28">
        <v>0</v>
      </c>
      <c r="G96" s="28">
        <v>7</v>
      </c>
      <c r="H96" s="28">
        <v>7</v>
      </c>
      <c r="I96" s="28">
        <v>10</v>
      </c>
      <c r="J96" s="28">
        <v>10</v>
      </c>
      <c r="K96" s="29">
        <v>9</v>
      </c>
      <c r="L96" s="29">
        <v>0</v>
      </c>
      <c r="M96" s="28">
        <v>0</v>
      </c>
      <c r="N96" s="28">
        <v>0</v>
      </c>
      <c r="O96" s="28">
        <v>7</v>
      </c>
      <c r="P96" s="28">
        <v>7</v>
      </c>
      <c r="Q96" s="28">
        <v>7</v>
      </c>
      <c r="R96" s="28">
        <v>7</v>
      </c>
      <c r="S96" s="28">
        <v>10</v>
      </c>
      <c r="T96" s="29">
        <v>-2</v>
      </c>
      <c r="U96" s="30">
        <v>0</v>
      </c>
      <c r="V96" s="28">
        <v>10</v>
      </c>
      <c r="W96" s="28">
        <v>0</v>
      </c>
      <c r="X96" s="28">
        <v>0</v>
      </c>
      <c r="Y96" s="28">
        <v>7</v>
      </c>
      <c r="Z96" s="28">
        <v>7</v>
      </c>
      <c r="AA96" s="28">
        <v>7</v>
      </c>
      <c r="AB96" s="28">
        <v>7</v>
      </c>
      <c r="AC96" s="29">
        <v>-2</v>
      </c>
      <c r="AD96" s="30">
        <v>0</v>
      </c>
      <c r="AE96" s="28">
        <v>10</v>
      </c>
      <c r="AF96" s="28">
        <v>10</v>
      </c>
      <c r="AG96" s="28">
        <v>0</v>
      </c>
      <c r="AH96" s="28">
        <v>0</v>
      </c>
      <c r="AI96" s="28">
        <v>7</v>
      </c>
      <c r="AJ96" s="28">
        <v>7</v>
      </c>
      <c r="AK96" s="28">
        <v>7</v>
      </c>
      <c r="AL96" s="29">
        <v>1</v>
      </c>
      <c r="AM96" s="30">
        <v>0</v>
      </c>
    </row>
    <row r="97" spans="1:39" s="1" customFormat="1" ht="16.5" customHeight="1">
      <c r="A97" s="31" t="s">
        <v>245</v>
      </c>
      <c r="B97" s="32">
        <v>13</v>
      </c>
      <c r="C97" s="32">
        <v>18005159</v>
      </c>
      <c r="D97" s="28">
        <v>7</v>
      </c>
      <c r="E97" s="28">
        <v>7</v>
      </c>
      <c r="F97" s="28">
        <v>0</v>
      </c>
      <c r="G97" s="28">
        <v>10</v>
      </c>
      <c r="H97" s="28">
        <v>10</v>
      </c>
      <c r="I97" s="28">
        <v>0</v>
      </c>
      <c r="J97" s="28">
        <v>0</v>
      </c>
      <c r="K97" s="29">
        <v>2</v>
      </c>
      <c r="L97" s="29">
        <v>0</v>
      </c>
      <c r="M97" s="28">
        <v>7</v>
      </c>
      <c r="N97" s="28">
        <v>7</v>
      </c>
      <c r="O97" s="28">
        <v>7</v>
      </c>
      <c r="P97" s="28">
        <v>7</v>
      </c>
      <c r="Q97" s="28">
        <v>10</v>
      </c>
      <c r="R97" s="28">
        <v>10</v>
      </c>
      <c r="S97" s="28">
        <v>0</v>
      </c>
      <c r="T97" s="29">
        <v>8</v>
      </c>
      <c r="U97" s="30">
        <v>0</v>
      </c>
      <c r="V97" s="28">
        <v>0</v>
      </c>
      <c r="W97" s="28">
        <v>7</v>
      </c>
      <c r="X97" s="28">
        <v>7</v>
      </c>
      <c r="Y97" s="28">
        <v>7</v>
      </c>
      <c r="Z97" s="28">
        <v>7</v>
      </c>
      <c r="AA97" s="28">
        <v>10</v>
      </c>
      <c r="AB97" s="28">
        <v>10</v>
      </c>
      <c r="AC97" s="29">
        <v>8</v>
      </c>
      <c r="AD97" s="30">
        <v>0</v>
      </c>
      <c r="AE97" s="28">
        <v>0</v>
      </c>
      <c r="AF97" s="28">
        <v>0</v>
      </c>
      <c r="AG97" s="28">
        <v>7</v>
      </c>
      <c r="AH97" s="28">
        <v>7</v>
      </c>
      <c r="AI97" s="28">
        <v>7</v>
      </c>
      <c r="AJ97" s="28">
        <v>7</v>
      </c>
      <c r="AK97" s="28">
        <v>10</v>
      </c>
      <c r="AL97" s="29">
        <v>-2</v>
      </c>
      <c r="AM97" s="30">
        <v>0</v>
      </c>
    </row>
    <row r="98" spans="1:39" s="1" customFormat="1" ht="16.5" customHeight="1">
      <c r="A98" s="31" t="s">
        <v>161</v>
      </c>
      <c r="B98" s="32">
        <v>14</v>
      </c>
      <c r="C98" s="32">
        <v>18006751</v>
      </c>
      <c r="D98" s="28" t="s">
        <v>68</v>
      </c>
      <c r="E98" s="28" t="s">
        <v>68</v>
      </c>
      <c r="F98" s="28" t="s">
        <v>68</v>
      </c>
      <c r="G98" s="28" t="s">
        <v>68</v>
      </c>
      <c r="H98" s="28" t="s">
        <v>68</v>
      </c>
      <c r="I98" s="28" t="s">
        <v>68</v>
      </c>
      <c r="J98" s="28" t="s">
        <v>68</v>
      </c>
      <c r="K98" s="29">
        <v>0</v>
      </c>
      <c r="L98" s="29">
        <v>0</v>
      </c>
      <c r="M98" s="28" t="s">
        <v>68</v>
      </c>
      <c r="N98" s="28" t="s">
        <v>68</v>
      </c>
      <c r="O98" s="28" t="s">
        <v>68</v>
      </c>
      <c r="P98" s="28" t="s">
        <v>68</v>
      </c>
      <c r="Q98" s="28">
        <v>7</v>
      </c>
      <c r="R98" s="28">
        <v>7</v>
      </c>
      <c r="S98" s="28">
        <v>7</v>
      </c>
      <c r="T98" s="29">
        <v>-3</v>
      </c>
      <c r="U98" s="30">
        <v>0</v>
      </c>
      <c r="V98" s="28">
        <v>7</v>
      </c>
      <c r="W98" s="28">
        <v>10</v>
      </c>
      <c r="X98" s="28">
        <v>10</v>
      </c>
      <c r="Y98" s="28" t="s">
        <v>85</v>
      </c>
      <c r="Z98" s="28" t="s">
        <v>85</v>
      </c>
      <c r="AA98" s="28">
        <v>7</v>
      </c>
      <c r="AB98" s="28">
        <v>7</v>
      </c>
      <c r="AC98" s="29">
        <v>1</v>
      </c>
      <c r="AD98" s="30">
        <v>0</v>
      </c>
      <c r="AE98" s="28">
        <v>7</v>
      </c>
      <c r="AF98" s="28">
        <v>7</v>
      </c>
      <c r="AG98" s="28">
        <v>10</v>
      </c>
      <c r="AH98" s="28">
        <v>10</v>
      </c>
      <c r="AI98" s="28" t="s">
        <v>85</v>
      </c>
      <c r="AJ98" s="28" t="s">
        <v>85</v>
      </c>
      <c r="AK98" s="28">
        <v>7</v>
      </c>
      <c r="AL98" s="29">
        <v>1</v>
      </c>
      <c r="AM98" s="30">
        <v>0</v>
      </c>
    </row>
    <row r="99" spans="1:39" s="1" customFormat="1" ht="16.5" customHeight="1">
      <c r="A99" s="31" t="s">
        <v>163</v>
      </c>
      <c r="B99" s="32">
        <v>14</v>
      </c>
      <c r="C99" s="32">
        <v>18006752</v>
      </c>
      <c r="D99" s="28">
        <v>10</v>
      </c>
      <c r="E99" s="28" t="s">
        <v>85</v>
      </c>
      <c r="F99" s="28">
        <v>14</v>
      </c>
      <c r="G99" s="28">
        <v>10</v>
      </c>
      <c r="H99" s="28" t="s">
        <v>85</v>
      </c>
      <c r="I99" s="28">
        <v>14</v>
      </c>
      <c r="J99" s="28">
        <v>10</v>
      </c>
      <c r="K99" s="29">
        <v>12</v>
      </c>
      <c r="L99" s="29">
        <v>14</v>
      </c>
      <c r="M99" s="28" t="s">
        <v>85</v>
      </c>
      <c r="N99" s="28">
        <v>14</v>
      </c>
      <c r="O99" s="28">
        <v>10</v>
      </c>
      <c r="P99" s="28" t="s">
        <v>85</v>
      </c>
      <c r="Q99" s="28">
        <v>7</v>
      </c>
      <c r="R99" s="28">
        <v>7</v>
      </c>
      <c r="S99" s="28">
        <v>10</v>
      </c>
      <c r="T99" s="29">
        <v>8</v>
      </c>
      <c r="U99" s="30">
        <v>0</v>
      </c>
      <c r="V99" s="28">
        <v>10</v>
      </c>
      <c r="W99" s="28" t="s">
        <v>85</v>
      </c>
      <c r="X99" s="28" t="s">
        <v>85</v>
      </c>
      <c r="Y99" s="28">
        <v>7</v>
      </c>
      <c r="Z99" s="28">
        <v>7</v>
      </c>
      <c r="AA99" s="28">
        <v>7</v>
      </c>
      <c r="AB99" s="28">
        <v>7</v>
      </c>
      <c r="AC99" s="29">
        <v>-2</v>
      </c>
      <c r="AD99" s="30">
        <v>0</v>
      </c>
      <c r="AE99" s="28">
        <v>10</v>
      </c>
      <c r="AF99" s="28">
        <v>10</v>
      </c>
      <c r="AG99" s="28" t="s">
        <v>85</v>
      </c>
      <c r="AH99" s="28" t="s">
        <v>85</v>
      </c>
      <c r="AI99" s="28">
        <v>7</v>
      </c>
      <c r="AJ99" s="28">
        <v>7</v>
      </c>
      <c r="AK99" s="28">
        <v>7</v>
      </c>
      <c r="AL99" s="29">
        <v>1</v>
      </c>
      <c r="AM99" s="30">
        <v>0</v>
      </c>
    </row>
    <row r="100" spans="1:39" s="1" customFormat="1" ht="16.5" customHeight="1">
      <c r="A100" s="31" t="s">
        <v>162</v>
      </c>
      <c r="B100" s="32">
        <v>14</v>
      </c>
      <c r="C100" s="32">
        <v>18006756</v>
      </c>
      <c r="D100" s="28">
        <v>14</v>
      </c>
      <c r="E100" s="28">
        <v>10</v>
      </c>
      <c r="F100" s="28" t="s">
        <v>85</v>
      </c>
      <c r="G100" s="28">
        <v>14</v>
      </c>
      <c r="H100" s="28">
        <v>10</v>
      </c>
      <c r="I100" s="28" t="s">
        <v>85</v>
      </c>
      <c r="J100" s="28">
        <v>14</v>
      </c>
      <c r="K100" s="29">
        <v>30</v>
      </c>
      <c r="L100" s="29">
        <v>0</v>
      </c>
      <c r="M100" s="28">
        <v>10</v>
      </c>
      <c r="N100" s="28" t="s">
        <v>84</v>
      </c>
      <c r="O100" s="28">
        <v>14</v>
      </c>
      <c r="P100" s="28">
        <v>10</v>
      </c>
      <c r="Q100" s="28" t="s">
        <v>85</v>
      </c>
      <c r="R100" s="28" t="s">
        <v>85</v>
      </c>
      <c r="S100" s="28">
        <v>7</v>
      </c>
      <c r="T100" s="29">
        <v>1</v>
      </c>
      <c r="U100" s="30">
        <v>0</v>
      </c>
      <c r="V100" s="28">
        <v>7</v>
      </c>
      <c r="W100" s="28">
        <v>7</v>
      </c>
      <c r="X100" s="28">
        <v>7</v>
      </c>
      <c r="Y100" s="28">
        <v>10</v>
      </c>
      <c r="Z100" s="28">
        <v>10</v>
      </c>
      <c r="AA100" s="28" t="s">
        <v>85</v>
      </c>
      <c r="AB100" s="28" t="s">
        <v>85</v>
      </c>
      <c r="AC100" s="29">
        <v>1</v>
      </c>
      <c r="AD100" s="30">
        <v>0</v>
      </c>
      <c r="AE100" s="28">
        <v>7</v>
      </c>
      <c r="AF100" s="28">
        <v>7</v>
      </c>
      <c r="AG100" s="28">
        <v>7</v>
      </c>
      <c r="AH100" s="28">
        <v>7</v>
      </c>
      <c r="AI100" s="28">
        <v>10</v>
      </c>
      <c r="AJ100" s="28">
        <v>10</v>
      </c>
      <c r="AK100" s="28" t="s">
        <v>85</v>
      </c>
      <c r="AL100" s="29">
        <v>8</v>
      </c>
      <c r="AM100" s="30">
        <v>0</v>
      </c>
    </row>
    <row r="101" spans="1:39" s="1" customFormat="1" ht="16.5" customHeight="1">
      <c r="A101" s="31" t="s">
        <v>164</v>
      </c>
      <c r="B101" s="32">
        <v>14</v>
      </c>
      <c r="C101" s="32">
        <v>18006755</v>
      </c>
      <c r="D101" s="28" t="s">
        <v>85</v>
      </c>
      <c r="E101" s="28">
        <v>14</v>
      </c>
      <c r="F101" s="28">
        <v>10</v>
      </c>
      <c r="G101" s="28" t="s">
        <v>85</v>
      </c>
      <c r="H101" s="28">
        <v>14</v>
      </c>
      <c r="I101" s="28">
        <v>10</v>
      </c>
      <c r="J101" s="28" t="s">
        <v>85</v>
      </c>
      <c r="K101" s="29">
        <v>6</v>
      </c>
      <c r="L101" s="29">
        <v>10</v>
      </c>
      <c r="M101" s="28">
        <v>14</v>
      </c>
      <c r="N101" s="28">
        <v>10</v>
      </c>
      <c r="O101" s="28" t="s">
        <v>85</v>
      </c>
      <c r="P101" s="28">
        <v>14</v>
      </c>
      <c r="Q101" s="28">
        <v>10</v>
      </c>
      <c r="R101" s="28">
        <v>10</v>
      </c>
      <c r="S101" s="28" t="s">
        <v>85</v>
      </c>
      <c r="T101" s="29">
        <v>18</v>
      </c>
      <c r="U101" s="30">
        <v>0</v>
      </c>
      <c r="V101" s="28" t="s">
        <v>85</v>
      </c>
      <c r="W101" s="28">
        <v>7</v>
      </c>
      <c r="X101" s="28">
        <v>7</v>
      </c>
      <c r="Y101" s="28">
        <v>7</v>
      </c>
      <c r="Z101" s="28">
        <v>7</v>
      </c>
      <c r="AA101" s="28">
        <v>10</v>
      </c>
      <c r="AB101" s="28">
        <v>10</v>
      </c>
      <c r="AC101" s="29">
        <v>8</v>
      </c>
      <c r="AD101" s="30">
        <v>0</v>
      </c>
      <c r="AE101" s="28" t="s">
        <v>85</v>
      </c>
      <c r="AF101" s="28" t="s">
        <v>85</v>
      </c>
      <c r="AG101" s="28">
        <v>7</v>
      </c>
      <c r="AH101" s="28">
        <v>7</v>
      </c>
      <c r="AI101" s="28">
        <v>7</v>
      </c>
      <c r="AJ101" s="28">
        <v>7</v>
      </c>
      <c r="AK101" s="28">
        <v>10</v>
      </c>
      <c r="AL101" s="29">
        <v>-2</v>
      </c>
      <c r="AM101" s="30">
        <v>0</v>
      </c>
    </row>
    <row r="102" spans="1:39" s="1" customFormat="1" ht="16.5" customHeight="1">
      <c r="A102" s="31" t="s">
        <v>160</v>
      </c>
      <c r="B102" s="32">
        <v>14</v>
      </c>
      <c r="C102" s="32">
        <v>18006759</v>
      </c>
      <c r="D102" s="28">
        <v>7</v>
      </c>
      <c r="E102" s="28">
        <v>7</v>
      </c>
      <c r="F102" s="28">
        <v>10</v>
      </c>
      <c r="G102" s="28">
        <v>10</v>
      </c>
      <c r="H102" s="28" t="s">
        <v>85</v>
      </c>
      <c r="I102" s="28" t="s">
        <v>69</v>
      </c>
      <c r="J102" s="28">
        <v>7</v>
      </c>
      <c r="K102" s="29">
        <v>-1</v>
      </c>
      <c r="L102" s="29">
        <v>10</v>
      </c>
      <c r="M102" s="28">
        <v>7</v>
      </c>
      <c r="N102" s="28">
        <v>7</v>
      </c>
      <c r="O102" s="28">
        <v>7</v>
      </c>
      <c r="P102" s="28">
        <v>10</v>
      </c>
      <c r="Q102" s="28">
        <v>10</v>
      </c>
      <c r="R102" s="28" t="s">
        <v>85</v>
      </c>
      <c r="S102" s="28" t="s">
        <v>85</v>
      </c>
      <c r="T102" s="29">
        <v>1</v>
      </c>
      <c r="U102" s="30">
        <v>0</v>
      </c>
      <c r="V102" s="28">
        <v>7</v>
      </c>
      <c r="W102" s="28">
        <v>7</v>
      </c>
      <c r="X102" s="28">
        <v>7</v>
      </c>
      <c r="Y102" s="28">
        <v>7</v>
      </c>
      <c r="Z102" s="28">
        <v>10</v>
      </c>
      <c r="AA102" s="28">
        <v>10</v>
      </c>
      <c r="AB102" s="28" t="s">
        <v>85</v>
      </c>
      <c r="AC102" s="29">
        <v>8</v>
      </c>
      <c r="AD102" s="30">
        <v>0</v>
      </c>
      <c r="AE102" s="28" t="s">
        <v>85</v>
      </c>
      <c r="AF102" s="28">
        <v>7</v>
      </c>
      <c r="AG102" s="28" t="s">
        <v>68</v>
      </c>
      <c r="AH102" s="28" t="s">
        <v>68</v>
      </c>
      <c r="AI102" s="28" t="s">
        <v>68</v>
      </c>
      <c r="AJ102" s="28" t="s">
        <v>68</v>
      </c>
      <c r="AK102" s="28" t="s">
        <v>68</v>
      </c>
      <c r="AL102" s="29">
        <v>7</v>
      </c>
      <c r="AM102" s="30">
        <v>0</v>
      </c>
    </row>
    <row r="103" spans="1:39" s="1" customFormat="1" ht="16.5" customHeight="1">
      <c r="A103" s="31" t="s">
        <v>158</v>
      </c>
      <c r="B103" s="32">
        <v>14</v>
      </c>
      <c r="C103" s="32">
        <v>18006753</v>
      </c>
      <c r="D103" s="28">
        <v>7</v>
      </c>
      <c r="E103" s="28">
        <v>7</v>
      </c>
      <c r="F103" s="28">
        <v>7</v>
      </c>
      <c r="G103" s="28">
        <v>7</v>
      </c>
      <c r="H103" s="28">
        <v>10</v>
      </c>
      <c r="I103" s="28">
        <v>10</v>
      </c>
      <c r="J103" s="28" t="s">
        <v>85</v>
      </c>
      <c r="K103" s="29">
        <v>9</v>
      </c>
      <c r="L103" s="29">
        <v>7</v>
      </c>
      <c r="M103" s="28" t="s">
        <v>85</v>
      </c>
      <c r="N103" s="28">
        <v>7</v>
      </c>
      <c r="O103" s="28">
        <v>7</v>
      </c>
      <c r="P103" s="28">
        <v>7</v>
      </c>
      <c r="Q103" s="28">
        <v>7</v>
      </c>
      <c r="R103" s="28">
        <v>10</v>
      </c>
      <c r="S103" s="28">
        <v>10</v>
      </c>
      <c r="T103" s="29">
        <v>8</v>
      </c>
      <c r="U103" s="30">
        <v>0</v>
      </c>
      <c r="V103" s="28" t="s">
        <v>85</v>
      </c>
      <c r="W103" s="28" t="s">
        <v>85</v>
      </c>
      <c r="X103" s="28">
        <v>7</v>
      </c>
      <c r="Y103" s="28">
        <v>7</v>
      </c>
      <c r="Z103" s="28">
        <v>7</v>
      </c>
      <c r="AA103" s="28">
        <v>7</v>
      </c>
      <c r="AB103" s="28">
        <v>10</v>
      </c>
      <c r="AC103" s="29">
        <v>-2</v>
      </c>
      <c r="AD103" s="30">
        <v>0</v>
      </c>
      <c r="AE103" s="28">
        <v>10</v>
      </c>
      <c r="AF103" s="28" t="s">
        <v>85</v>
      </c>
      <c r="AG103" s="28">
        <v>14</v>
      </c>
      <c r="AH103" s="28">
        <v>10</v>
      </c>
      <c r="AI103" s="28" t="s">
        <v>85</v>
      </c>
      <c r="AJ103" s="28">
        <v>14</v>
      </c>
      <c r="AK103" s="28">
        <v>10</v>
      </c>
      <c r="AL103" s="29">
        <v>18</v>
      </c>
      <c r="AM103" s="30">
        <v>0</v>
      </c>
    </row>
    <row r="104" spans="1:39" s="1" customFormat="1" ht="16.5" customHeight="1">
      <c r="A104" s="31" t="s">
        <v>159</v>
      </c>
      <c r="B104" s="32">
        <v>14</v>
      </c>
      <c r="C104" s="32">
        <v>18006757</v>
      </c>
      <c r="D104" s="28">
        <v>10</v>
      </c>
      <c r="E104" s="28">
        <v>10</v>
      </c>
      <c r="F104" s="28" t="s">
        <v>85</v>
      </c>
      <c r="G104" s="28" t="s">
        <v>85</v>
      </c>
      <c r="H104" s="28">
        <v>7</v>
      </c>
      <c r="I104" s="28">
        <v>7</v>
      </c>
      <c r="J104" s="28">
        <v>7</v>
      </c>
      <c r="K104" s="29">
        <v>9</v>
      </c>
      <c r="L104" s="29">
        <v>0</v>
      </c>
      <c r="M104" s="28">
        <v>7</v>
      </c>
      <c r="N104" s="28">
        <v>10</v>
      </c>
      <c r="O104" s="28">
        <v>10</v>
      </c>
      <c r="P104" s="28" t="s">
        <v>85</v>
      </c>
      <c r="Q104" s="28" t="s">
        <v>85</v>
      </c>
      <c r="R104" s="28">
        <v>7</v>
      </c>
      <c r="S104" s="28">
        <v>7</v>
      </c>
      <c r="T104" s="29">
        <v>1</v>
      </c>
      <c r="U104" s="30">
        <v>0</v>
      </c>
      <c r="V104" s="28">
        <v>7</v>
      </c>
      <c r="W104" s="28">
        <v>7</v>
      </c>
      <c r="X104" s="28">
        <v>10</v>
      </c>
      <c r="Y104" s="28">
        <v>10</v>
      </c>
      <c r="Z104" s="28" t="s">
        <v>85</v>
      </c>
      <c r="AA104" s="28" t="s">
        <v>85</v>
      </c>
      <c r="AB104" s="28">
        <v>7</v>
      </c>
      <c r="AC104" s="29">
        <v>1</v>
      </c>
      <c r="AD104" s="30">
        <v>0</v>
      </c>
      <c r="AE104" s="28">
        <v>7</v>
      </c>
      <c r="AF104" s="28">
        <v>7</v>
      </c>
      <c r="AG104" s="28">
        <v>10</v>
      </c>
      <c r="AH104" s="28" t="s">
        <v>85</v>
      </c>
      <c r="AI104" s="28">
        <v>14</v>
      </c>
      <c r="AJ104" s="28">
        <v>10</v>
      </c>
      <c r="AK104" s="28" t="s">
        <v>85</v>
      </c>
      <c r="AL104" s="29">
        <v>8</v>
      </c>
      <c r="AM104" s="30">
        <v>0</v>
      </c>
    </row>
    <row r="105" spans="1:39" s="1" customFormat="1" ht="16.5" customHeight="1">
      <c r="A105" s="31" t="s">
        <v>5</v>
      </c>
      <c r="B105" s="32">
        <v>14</v>
      </c>
      <c r="C105" s="32">
        <v>18006975</v>
      </c>
      <c r="D105" s="28" t="s">
        <v>85</v>
      </c>
      <c r="E105" s="28" t="s">
        <v>85</v>
      </c>
      <c r="F105" s="28">
        <v>7</v>
      </c>
      <c r="G105" s="28">
        <v>7</v>
      </c>
      <c r="H105" s="28">
        <v>7</v>
      </c>
      <c r="I105" s="28">
        <v>7</v>
      </c>
      <c r="J105" s="28">
        <v>10</v>
      </c>
      <c r="K105" s="29">
        <v>-1</v>
      </c>
      <c r="L105" s="29">
        <v>7</v>
      </c>
      <c r="M105" s="28">
        <v>10</v>
      </c>
      <c r="N105" s="28" t="s">
        <v>84</v>
      </c>
      <c r="O105" s="28" t="s">
        <v>85</v>
      </c>
      <c r="P105" s="28">
        <v>7</v>
      </c>
      <c r="Q105" s="28">
        <v>7</v>
      </c>
      <c r="R105" s="28">
        <v>7</v>
      </c>
      <c r="S105" s="28">
        <v>7</v>
      </c>
      <c r="T105" s="29">
        <v>-2</v>
      </c>
      <c r="U105" s="30">
        <v>0</v>
      </c>
      <c r="V105" s="28">
        <v>10</v>
      </c>
      <c r="W105" s="28">
        <v>10</v>
      </c>
      <c r="X105" s="28" t="s">
        <v>85</v>
      </c>
      <c r="Y105" s="28" t="s">
        <v>85</v>
      </c>
      <c r="Z105" s="28">
        <v>7</v>
      </c>
      <c r="AA105" s="28">
        <v>7</v>
      </c>
      <c r="AB105" s="28">
        <v>7</v>
      </c>
      <c r="AC105" s="29">
        <v>1</v>
      </c>
      <c r="AD105" s="30">
        <v>0</v>
      </c>
      <c r="AE105" s="28">
        <v>7</v>
      </c>
      <c r="AF105" s="28">
        <v>10</v>
      </c>
      <c r="AG105" s="28" t="s">
        <v>85</v>
      </c>
      <c r="AH105" s="28">
        <v>14</v>
      </c>
      <c r="AI105" s="28">
        <v>10</v>
      </c>
      <c r="AJ105" s="28" t="s">
        <v>85</v>
      </c>
      <c r="AK105" s="28">
        <v>14</v>
      </c>
      <c r="AL105" s="29">
        <v>15</v>
      </c>
      <c r="AM105" s="30">
        <v>0</v>
      </c>
    </row>
    <row r="106" spans="1:39" s="1" customFormat="1" ht="16.5" customHeight="1">
      <c r="A106" s="31" t="s">
        <v>233</v>
      </c>
      <c r="B106" s="32">
        <v>14</v>
      </c>
      <c r="C106" s="32">
        <v>18006984</v>
      </c>
      <c r="D106" s="28" t="s">
        <v>85</v>
      </c>
      <c r="E106" s="28">
        <v>7</v>
      </c>
      <c r="F106" s="28">
        <v>7</v>
      </c>
      <c r="G106" s="28" t="s">
        <v>68</v>
      </c>
      <c r="H106" s="28" t="s">
        <v>68</v>
      </c>
      <c r="I106" s="28" t="s">
        <v>68</v>
      </c>
      <c r="J106" s="28" t="s">
        <v>68</v>
      </c>
      <c r="K106" s="29">
        <v>7</v>
      </c>
      <c r="L106" s="29">
        <v>7</v>
      </c>
      <c r="M106" s="28" t="s">
        <v>68</v>
      </c>
      <c r="N106" s="28" t="s">
        <v>68</v>
      </c>
      <c r="O106" s="28" t="s">
        <v>68</v>
      </c>
      <c r="P106" s="28" t="s">
        <v>68</v>
      </c>
      <c r="Q106" s="28">
        <v>7</v>
      </c>
      <c r="R106" s="28">
        <v>7</v>
      </c>
      <c r="S106" s="28">
        <v>7</v>
      </c>
      <c r="T106" s="29">
        <v>-3</v>
      </c>
      <c r="U106" s="30">
        <v>0</v>
      </c>
      <c r="V106" s="28">
        <v>7</v>
      </c>
      <c r="W106" s="28">
        <v>10</v>
      </c>
      <c r="X106" s="28">
        <v>10</v>
      </c>
      <c r="Y106" s="28" t="s">
        <v>85</v>
      </c>
      <c r="Z106" s="28" t="s">
        <v>85</v>
      </c>
      <c r="AA106" s="28">
        <v>7</v>
      </c>
      <c r="AB106" s="28">
        <v>7</v>
      </c>
      <c r="AC106" s="29">
        <v>1</v>
      </c>
      <c r="AD106" s="30">
        <v>0</v>
      </c>
      <c r="AE106" s="28">
        <v>7</v>
      </c>
      <c r="AF106" s="28">
        <v>7</v>
      </c>
      <c r="AG106" s="28">
        <v>10</v>
      </c>
      <c r="AH106" s="28">
        <v>10</v>
      </c>
      <c r="AI106" s="28" t="s">
        <v>85</v>
      </c>
      <c r="AJ106" s="28" t="s">
        <v>85</v>
      </c>
      <c r="AK106" s="28">
        <v>7</v>
      </c>
      <c r="AL106" s="29">
        <v>1</v>
      </c>
      <c r="AM106" s="30">
        <v>0</v>
      </c>
    </row>
    <row r="107" spans="1:39" s="1" customFormat="1" ht="16.5" customHeight="1">
      <c r="A107" s="31" t="s">
        <v>155</v>
      </c>
      <c r="B107" s="32">
        <v>14</v>
      </c>
      <c r="C107" s="32">
        <v>18004310</v>
      </c>
      <c r="D107" s="28">
        <v>10</v>
      </c>
      <c r="E107" s="28" t="s">
        <v>85</v>
      </c>
      <c r="F107" s="28" t="s">
        <v>85</v>
      </c>
      <c r="G107" s="28">
        <v>14</v>
      </c>
      <c r="H107" s="28">
        <v>10</v>
      </c>
      <c r="I107" s="28" t="s">
        <v>69</v>
      </c>
      <c r="J107" s="28">
        <v>14</v>
      </c>
      <c r="K107" s="29">
        <v>16</v>
      </c>
      <c r="L107" s="29">
        <v>0</v>
      </c>
      <c r="M107" s="28">
        <v>10</v>
      </c>
      <c r="N107" s="28" t="s">
        <v>84</v>
      </c>
      <c r="O107" s="28">
        <v>14</v>
      </c>
      <c r="P107" s="28">
        <v>10</v>
      </c>
      <c r="Q107" s="28" t="s">
        <v>85</v>
      </c>
      <c r="R107" s="28" t="s">
        <v>85</v>
      </c>
      <c r="S107" s="28">
        <v>7</v>
      </c>
      <c r="T107" s="29">
        <v>1</v>
      </c>
      <c r="U107" s="30">
        <v>0</v>
      </c>
      <c r="V107" s="28">
        <v>7</v>
      </c>
      <c r="W107" s="28">
        <v>7</v>
      </c>
      <c r="X107" s="28">
        <v>7</v>
      </c>
      <c r="Y107" s="28">
        <v>10</v>
      </c>
      <c r="Z107" s="28">
        <v>10</v>
      </c>
      <c r="AA107" s="28" t="s">
        <v>85</v>
      </c>
      <c r="AB107" s="28" t="s">
        <v>85</v>
      </c>
      <c r="AC107" s="29">
        <v>1</v>
      </c>
      <c r="AD107" s="30">
        <v>0</v>
      </c>
      <c r="AE107" s="28">
        <v>7</v>
      </c>
      <c r="AF107" s="28">
        <v>7</v>
      </c>
      <c r="AG107" s="28">
        <v>7</v>
      </c>
      <c r="AH107" s="28">
        <v>7</v>
      </c>
      <c r="AI107" s="28">
        <v>10</v>
      </c>
      <c r="AJ107" s="28">
        <v>10</v>
      </c>
      <c r="AK107" s="28" t="s">
        <v>85</v>
      </c>
      <c r="AL107" s="29">
        <v>8</v>
      </c>
      <c r="AM107" s="30">
        <v>0</v>
      </c>
    </row>
    <row r="108" spans="1:39" s="1" customFormat="1" ht="16.5" customHeight="1">
      <c r="A108" s="31" t="s">
        <v>153</v>
      </c>
      <c r="B108" s="32">
        <v>14</v>
      </c>
      <c r="C108" s="32">
        <v>18006977</v>
      </c>
      <c r="D108" s="28">
        <v>7</v>
      </c>
      <c r="E108" s="28">
        <v>10</v>
      </c>
      <c r="F108" s="28">
        <v>10</v>
      </c>
      <c r="G108" s="28" t="s">
        <v>85</v>
      </c>
      <c r="H108" s="28">
        <v>14</v>
      </c>
      <c r="I108" s="28">
        <v>10</v>
      </c>
      <c r="J108" s="28" t="s">
        <v>85</v>
      </c>
      <c r="K108" s="29">
        <v>9</v>
      </c>
      <c r="L108" s="29">
        <v>10</v>
      </c>
      <c r="M108" s="28">
        <v>14</v>
      </c>
      <c r="N108" s="28">
        <v>10</v>
      </c>
      <c r="O108" s="28" t="s">
        <v>85</v>
      </c>
      <c r="P108" s="28">
        <v>14</v>
      </c>
      <c r="Q108" s="28">
        <v>10</v>
      </c>
      <c r="R108" s="28">
        <v>10</v>
      </c>
      <c r="S108" s="28" t="s">
        <v>85</v>
      </c>
      <c r="T108" s="29">
        <v>18</v>
      </c>
      <c r="U108" s="30">
        <v>0</v>
      </c>
      <c r="V108" s="28" t="s">
        <v>85</v>
      </c>
      <c r="W108" s="28">
        <v>7</v>
      </c>
      <c r="X108" s="28">
        <v>7</v>
      </c>
      <c r="Y108" s="28">
        <v>7</v>
      </c>
      <c r="Z108" s="28">
        <v>7</v>
      </c>
      <c r="AA108" s="28">
        <v>10</v>
      </c>
      <c r="AB108" s="28">
        <v>10</v>
      </c>
      <c r="AC108" s="29">
        <v>8</v>
      </c>
      <c r="AD108" s="30">
        <v>0</v>
      </c>
      <c r="AE108" s="28" t="s">
        <v>85</v>
      </c>
      <c r="AF108" s="28" t="s">
        <v>85</v>
      </c>
      <c r="AG108" s="28">
        <v>7</v>
      </c>
      <c r="AH108" s="28">
        <v>7</v>
      </c>
      <c r="AI108" s="28">
        <v>7</v>
      </c>
      <c r="AJ108" s="28">
        <v>7</v>
      </c>
      <c r="AK108" s="28">
        <v>10</v>
      </c>
      <c r="AL108" s="29">
        <v>-2</v>
      </c>
      <c r="AM108" s="30">
        <v>0</v>
      </c>
    </row>
    <row r="109" spans="1:39" s="1" customFormat="1" ht="16.5" customHeight="1">
      <c r="A109" s="31" t="s">
        <v>154</v>
      </c>
      <c r="B109" s="32">
        <v>14</v>
      </c>
      <c r="C109" s="32">
        <v>18006970</v>
      </c>
      <c r="D109" s="28">
        <v>7</v>
      </c>
      <c r="E109" s="28">
        <v>7</v>
      </c>
      <c r="F109" s="28">
        <v>7</v>
      </c>
      <c r="G109" s="28">
        <v>10</v>
      </c>
      <c r="H109" s="28" t="s">
        <v>85</v>
      </c>
      <c r="I109" s="28">
        <v>14</v>
      </c>
      <c r="J109" s="28">
        <v>10</v>
      </c>
      <c r="K109" s="29">
        <v>16</v>
      </c>
      <c r="L109" s="29">
        <v>7</v>
      </c>
      <c r="M109" s="28" t="s">
        <v>85</v>
      </c>
      <c r="N109" s="28">
        <v>14</v>
      </c>
      <c r="O109" s="28">
        <v>10</v>
      </c>
      <c r="P109" s="28" t="s">
        <v>85</v>
      </c>
      <c r="Q109" s="28">
        <v>7</v>
      </c>
      <c r="R109" s="28">
        <v>7</v>
      </c>
      <c r="S109" s="28">
        <v>10</v>
      </c>
      <c r="T109" s="29">
        <v>8</v>
      </c>
      <c r="U109" s="30">
        <v>0</v>
      </c>
      <c r="V109" s="28">
        <v>10</v>
      </c>
      <c r="W109" s="28" t="s">
        <v>85</v>
      </c>
      <c r="X109" s="28" t="s">
        <v>85</v>
      </c>
      <c r="Y109" s="28">
        <v>7</v>
      </c>
      <c r="Z109" s="28">
        <v>7</v>
      </c>
      <c r="AA109" s="28">
        <v>7</v>
      </c>
      <c r="AB109" s="28">
        <v>7</v>
      </c>
      <c r="AC109" s="29">
        <v>-2</v>
      </c>
      <c r="AD109" s="30">
        <v>0</v>
      </c>
      <c r="AE109" s="28">
        <v>10</v>
      </c>
      <c r="AF109" s="28">
        <v>10</v>
      </c>
      <c r="AG109" s="28" t="s">
        <v>85</v>
      </c>
      <c r="AH109" s="28" t="s">
        <v>85</v>
      </c>
      <c r="AI109" s="28">
        <v>7</v>
      </c>
      <c r="AJ109" s="28">
        <v>7</v>
      </c>
      <c r="AK109" s="28">
        <v>7</v>
      </c>
      <c r="AL109" s="29">
        <v>1</v>
      </c>
      <c r="AM109" s="30">
        <v>0</v>
      </c>
    </row>
    <row r="110" spans="1:39" s="1" customFormat="1" ht="16.5" customHeight="1">
      <c r="A110" s="31" t="s">
        <v>167</v>
      </c>
      <c r="B110" s="32">
        <v>14</v>
      </c>
      <c r="C110" s="32">
        <v>18004194</v>
      </c>
      <c r="D110" s="28">
        <v>10</v>
      </c>
      <c r="E110" s="28">
        <v>10</v>
      </c>
      <c r="F110" s="28" t="s">
        <v>68</v>
      </c>
      <c r="G110" s="28" t="s">
        <v>68</v>
      </c>
      <c r="H110" s="28" t="s">
        <v>68</v>
      </c>
      <c r="I110" s="28" t="s">
        <v>68</v>
      </c>
      <c r="J110" s="28" t="s">
        <v>68</v>
      </c>
      <c r="K110" s="29">
        <v>20</v>
      </c>
      <c r="L110" s="29">
        <v>0</v>
      </c>
      <c r="M110" s="28" t="s">
        <v>68</v>
      </c>
      <c r="N110" s="28" t="s">
        <v>68</v>
      </c>
      <c r="O110" s="28" t="s">
        <v>68</v>
      </c>
      <c r="P110" s="28" t="s">
        <v>68</v>
      </c>
      <c r="Q110" s="28" t="s">
        <v>68</v>
      </c>
      <c r="R110" s="28" t="s">
        <v>68</v>
      </c>
      <c r="S110" s="28" t="s">
        <v>68</v>
      </c>
      <c r="T110" s="29">
        <v>0</v>
      </c>
      <c r="U110" s="30">
        <v>0</v>
      </c>
      <c r="V110" s="28" t="s">
        <v>68</v>
      </c>
      <c r="W110" s="28" t="s">
        <v>68</v>
      </c>
      <c r="X110" s="28" t="s">
        <v>68</v>
      </c>
      <c r="Y110" s="28" t="s">
        <v>68</v>
      </c>
      <c r="Z110" s="28" t="s">
        <v>68</v>
      </c>
      <c r="AA110" s="28" t="s">
        <v>68</v>
      </c>
      <c r="AB110" s="28" t="s">
        <v>68</v>
      </c>
      <c r="AC110" s="29">
        <v>0</v>
      </c>
      <c r="AD110" s="30">
        <v>0</v>
      </c>
      <c r="AE110" s="28" t="s">
        <v>68</v>
      </c>
      <c r="AF110" s="28" t="s">
        <v>68</v>
      </c>
      <c r="AG110" s="28" t="s">
        <v>68</v>
      </c>
      <c r="AH110" s="28">
        <v>7</v>
      </c>
      <c r="AI110" s="28">
        <v>7</v>
      </c>
      <c r="AJ110" s="28">
        <v>10</v>
      </c>
      <c r="AK110" s="28">
        <v>10</v>
      </c>
      <c r="AL110" s="29">
        <v>2</v>
      </c>
      <c r="AM110" s="30">
        <v>0</v>
      </c>
    </row>
    <row r="111" spans="1:39" s="1" customFormat="1" ht="16.5" customHeight="1">
      <c r="A111" s="31" t="s">
        <v>156</v>
      </c>
      <c r="B111" s="32">
        <v>14</v>
      </c>
      <c r="C111" s="32">
        <v>18006980</v>
      </c>
      <c r="D111" s="28">
        <v>14</v>
      </c>
      <c r="E111" s="28">
        <v>7</v>
      </c>
      <c r="F111" s="28">
        <v>7</v>
      </c>
      <c r="G111" s="28" t="s">
        <v>85</v>
      </c>
      <c r="H111" s="28">
        <v>14</v>
      </c>
      <c r="I111" s="28" t="s">
        <v>85</v>
      </c>
      <c r="J111" s="28">
        <v>14</v>
      </c>
      <c r="K111" s="29">
        <v>17</v>
      </c>
      <c r="L111" s="29">
        <v>7</v>
      </c>
      <c r="M111" s="28" t="s">
        <v>85</v>
      </c>
      <c r="N111" s="28">
        <v>14</v>
      </c>
      <c r="O111" s="28" t="s">
        <v>85</v>
      </c>
      <c r="P111" s="28">
        <v>14</v>
      </c>
      <c r="Q111" s="28" t="s">
        <v>85</v>
      </c>
      <c r="R111" s="28">
        <v>14</v>
      </c>
      <c r="S111" s="28" t="s">
        <v>85</v>
      </c>
      <c r="T111" s="29">
        <v>2</v>
      </c>
      <c r="U111" s="30">
        <v>0</v>
      </c>
      <c r="V111" s="28">
        <v>14</v>
      </c>
      <c r="W111" s="28" t="s">
        <v>85</v>
      </c>
      <c r="X111" s="28">
        <v>14</v>
      </c>
      <c r="Y111" s="28" t="s">
        <v>85</v>
      </c>
      <c r="Z111" s="28">
        <v>14</v>
      </c>
      <c r="AA111" s="28" t="s">
        <v>85</v>
      </c>
      <c r="AB111" s="28">
        <v>14</v>
      </c>
      <c r="AC111" s="29">
        <v>16</v>
      </c>
      <c r="AD111" s="30">
        <v>0</v>
      </c>
      <c r="AE111" s="28" t="s">
        <v>85</v>
      </c>
      <c r="AF111" s="28">
        <v>14</v>
      </c>
      <c r="AG111" s="28" t="s">
        <v>85</v>
      </c>
      <c r="AH111" s="28">
        <v>7</v>
      </c>
      <c r="AI111" s="28">
        <v>7</v>
      </c>
      <c r="AJ111" s="28">
        <v>7</v>
      </c>
      <c r="AK111" s="28">
        <v>7</v>
      </c>
      <c r="AL111" s="29">
        <v>2</v>
      </c>
      <c r="AM111" s="30">
        <v>0</v>
      </c>
    </row>
    <row r="112" spans="1:39" s="1" customFormat="1" ht="16.5" customHeight="1">
      <c r="A112" s="31" t="s">
        <v>157</v>
      </c>
      <c r="B112" s="32">
        <v>14</v>
      </c>
      <c r="C112" s="32">
        <v>18006985</v>
      </c>
      <c r="D112" s="28" t="s">
        <v>76</v>
      </c>
      <c r="E112" s="28" t="s">
        <v>76</v>
      </c>
      <c r="F112" s="28">
        <v>7</v>
      </c>
      <c r="G112" s="28">
        <v>7</v>
      </c>
      <c r="H112" s="28">
        <v>10</v>
      </c>
      <c r="I112" s="28">
        <v>10</v>
      </c>
      <c r="J112" s="28" t="s">
        <v>85</v>
      </c>
      <c r="K112" s="29">
        <v>-5</v>
      </c>
      <c r="L112" s="29">
        <v>7</v>
      </c>
      <c r="M112" s="28">
        <v>7</v>
      </c>
      <c r="N112" s="28" t="s">
        <v>76</v>
      </c>
      <c r="O112" s="28" t="s">
        <v>76</v>
      </c>
      <c r="P112" s="28" t="s">
        <v>76</v>
      </c>
      <c r="Q112" s="28" t="s">
        <v>76</v>
      </c>
      <c r="R112" s="28">
        <v>10</v>
      </c>
      <c r="S112" s="28">
        <v>10</v>
      </c>
      <c r="T112" s="29">
        <v>11</v>
      </c>
      <c r="U112" s="30">
        <v>0</v>
      </c>
      <c r="V112" s="28" t="s">
        <v>85</v>
      </c>
      <c r="W112" s="28">
        <v>14</v>
      </c>
      <c r="X112" s="28">
        <v>10</v>
      </c>
      <c r="Y112" s="28">
        <v>10</v>
      </c>
      <c r="Z112" s="28" t="s">
        <v>85</v>
      </c>
      <c r="AA112" s="28">
        <v>14</v>
      </c>
      <c r="AB112" s="28">
        <v>10</v>
      </c>
      <c r="AC112" s="29">
        <v>18</v>
      </c>
      <c r="AD112" s="30">
        <v>0</v>
      </c>
      <c r="AE112" s="28">
        <v>10</v>
      </c>
      <c r="AF112" s="28" t="s">
        <v>85</v>
      </c>
      <c r="AG112" s="28">
        <v>14</v>
      </c>
      <c r="AH112" s="28">
        <v>10</v>
      </c>
      <c r="AI112" s="28">
        <v>10</v>
      </c>
      <c r="AJ112" s="28" t="s">
        <v>85</v>
      </c>
      <c r="AK112" s="28" t="s">
        <v>85</v>
      </c>
      <c r="AL112" s="29">
        <v>4</v>
      </c>
      <c r="AM112" s="30">
        <v>0</v>
      </c>
    </row>
    <row r="113" spans="1:39" s="1" customFormat="1" ht="16.5" customHeight="1">
      <c r="A113" s="31" t="s">
        <v>166</v>
      </c>
      <c r="B113" s="32">
        <v>14</v>
      </c>
      <c r="C113" s="32">
        <v>18004525</v>
      </c>
      <c r="D113" s="28" t="s">
        <v>85</v>
      </c>
      <c r="E113" s="28">
        <v>7</v>
      </c>
      <c r="F113" s="28">
        <v>10</v>
      </c>
      <c r="G113" s="28">
        <v>10</v>
      </c>
      <c r="H113" s="28" t="s">
        <v>85</v>
      </c>
      <c r="I113" s="28">
        <v>14</v>
      </c>
      <c r="J113" s="28">
        <v>10</v>
      </c>
      <c r="K113" s="29">
        <v>9</v>
      </c>
      <c r="L113" s="29">
        <v>10</v>
      </c>
      <c r="M113" s="28">
        <v>10</v>
      </c>
      <c r="N113" s="28" t="s">
        <v>85</v>
      </c>
      <c r="O113" s="28">
        <v>14</v>
      </c>
      <c r="P113" s="28">
        <v>10</v>
      </c>
      <c r="Q113" s="28">
        <v>10</v>
      </c>
      <c r="R113" s="28" t="s">
        <v>85</v>
      </c>
      <c r="S113" s="28">
        <v>14</v>
      </c>
      <c r="T113" s="29">
        <v>18</v>
      </c>
      <c r="U113" s="30">
        <v>0</v>
      </c>
      <c r="V113" s="28">
        <v>10</v>
      </c>
      <c r="W113" s="28">
        <v>10</v>
      </c>
      <c r="X113" s="28" t="s">
        <v>85</v>
      </c>
      <c r="Y113" s="28">
        <v>14</v>
      </c>
      <c r="Z113" s="28">
        <v>10</v>
      </c>
      <c r="AA113" s="28">
        <v>10</v>
      </c>
      <c r="AB113" s="28" t="s">
        <v>85</v>
      </c>
      <c r="AC113" s="29">
        <v>14</v>
      </c>
      <c r="AD113" s="30">
        <v>0</v>
      </c>
      <c r="AE113" s="28">
        <v>14</v>
      </c>
      <c r="AF113" s="28">
        <v>10</v>
      </c>
      <c r="AG113" s="28">
        <v>10</v>
      </c>
      <c r="AH113" s="28" t="s">
        <v>85</v>
      </c>
      <c r="AI113" s="28" t="s">
        <v>85</v>
      </c>
      <c r="AJ113" s="28">
        <v>7</v>
      </c>
      <c r="AK113" s="28">
        <v>7</v>
      </c>
      <c r="AL113" s="29">
        <v>8</v>
      </c>
      <c r="AM113" s="30">
        <v>0</v>
      </c>
    </row>
    <row r="114" spans="1:39" s="1" customFormat="1" ht="16.5" customHeight="1">
      <c r="A114" s="31" t="s">
        <v>165</v>
      </c>
      <c r="B114" s="32">
        <v>14</v>
      </c>
      <c r="C114" s="32">
        <v>18004522</v>
      </c>
      <c r="D114" s="28">
        <v>8</v>
      </c>
      <c r="E114" s="28">
        <v>8</v>
      </c>
      <c r="F114" s="28">
        <v>8</v>
      </c>
      <c r="G114" s="28">
        <v>12</v>
      </c>
      <c r="H114" s="28">
        <v>12</v>
      </c>
      <c r="I114" s="28" t="s">
        <v>85</v>
      </c>
      <c r="J114" s="28" t="s">
        <v>85</v>
      </c>
      <c r="K114" s="29">
        <v>8</v>
      </c>
      <c r="L114" s="29">
        <v>8</v>
      </c>
      <c r="M114" s="28">
        <v>8</v>
      </c>
      <c r="N114" s="28">
        <v>8</v>
      </c>
      <c r="O114" s="28">
        <v>8</v>
      </c>
      <c r="P114" s="28">
        <v>8</v>
      </c>
      <c r="Q114" s="28">
        <v>11</v>
      </c>
      <c r="R114" s="28">
        <v>11</v>
      </c>
      <c r="S114" s="28" t="s">
        <v>85</v>
      </c>
      <c r="T114" s="29">
        <v>14</v>
      </c>
      <c r="U114" s="30">
        <v>0</v>
      </c>
      <c r="V114" s="28" t="s">
        <v>85</v>
      </c>
      <c r="W114" s="28">
        <v>8</v>
      </c>
      <c r="X114" s="28" t="s">
        <v>68</v>
      </c>
      <c r="Y114" s="28" t="s">
        <v>68</v>
      </c>
      <c r="Z114" s="28" t="s">
        <v>68</v>
      </c>
      <c r="AA114" s="28" t="s">
        <v>68</v>
      </c>
      <c r="AB114" s="28" t="s">
        <v>68</v>
      </c>
      <c r="AC114" s="29">
        <v>8</v>
      </c>
      <c r="AD114" s="30">
        <v>0</v>
      </c>
      <c r="AE114" s="28" t="s">
        <v>68</v>
      </c>
      <c r="AF114" s="28" t="s">
        <v>68</v>
      </c>
      <c r="AG114" s="28" t="s">
        <v>68</v>
      </c>
      <c r="AH114" s="28" t="s">
        <v>68</v>
      </c>
      <c r="AI114" s="28" t="s">
        <v>68</v>
      </c>
      <c r="AJ114" s="28" t="s">
        <v>68</v>
      </c>
      <c r="AK114" s="28" t="s">
        <v>68</v>
      </c>
      <c r="AL114" s="29">
        <v>0</v>
      </c>
      <c r="AM114" s="30">
        <v>0</v>
      </c>
    </row>
    <row r="115" spans="1:39" s="1" customFormat="1" ht="16.5" customHeight="1">
      <c r="A115" s="31" t="s">
        <v>180</v>
      </c>
      <c r="B115" s="32">
        <v>15</v>
      </c>
      <c r="C115" s="32">
        <v>18004321</v>
      </c>
      <c r="D115" s="28">
        <v>10</v>
      </c>
      <c r="E115" s="28">
        <v>10</v>
      </c>
      <c r="F115" s="28">
        <v>0</v>
      </c>
      <c r="G115" s="28">
        <v>0</v>
      </c>
      <c r="H115" s="28">
        <v>7</v>
      </c>
      <c r="I115" s="28">
        <v>7</v>
      </c>
      <c r="J115" s="28">
        <v>10</v>
      </c>
      <c r="K115" s="29">
        <v>12</v>
      </c>
      <c r="L115" s="29">
        <v>0</v>
      </c>
      <c r="M115" s="28">
        <v>10</v>
      </c>
      <c r="N115" s="28">
        <v>0</v>
      </c>
      <c r="O115" s="28">
        <v>0</v>
      </c>
      <c r="P115" s="28">
        <v>7</v>
      </c>
      <c r="Q115" s="28">
        <v>7</v>
      </c>
      <c r="R115" s="28">
        <v>10</v>
      </c>
      <c r="S115" s="28">
        <v>10</v>
      </c>
      <c r="T115" s="29">
        <v>4</v>
      </c>
      <c r="U115" s="30">
        <v>0</v>
      </c>
      <c r="V115" s="28">
        <v>0</v>
      </c>
      <c r="W115" s="28">
        <v>0</v>
      </c>
      <c r="X115" s="28">
        <v>7</v>
      </c>
      <c r="Y115" s="28">
        <v>7</v>
      </c>
      <c r="Z115" s="28">
        <v>10</v>
      </c>
      <c r="AA115" s="28">
        <v>10</v>
      </c>
      <c r="AB115" s="28">
        <v>0</v>
      </c>
      <c r="AC115" s="29">
        <v>-6</v>
      </c>
      <c r="AD115" s="30">
        <v>0</v>
      </c>
      <c r="AE115" s="28">
        <v>0</v>
      </c>
      <c r="AF115" s="28">
        <v>14</v>
      </c>
      <c r="AG115" s="28">
        <v>7</v>
      </c>
      <c r="AH115" s="28">
        <v>10</v>
      </c>
      <c r="AI115" s="28">
        <v>10</v>
      </c>
      <c r="AJ115" s="28">
        <v>0</v>
      </c>
      <c r="AK115" s="28">
        <v>0</v>
      </c>
      <c r="AL115" s="29">
        <v>1</v>
      </c>
      <c r="AM115" s="30">
        <v>0</v>
      </c>
    </row>
    <row r="116" spans="1:39" s="1" customFormat="1" ht="16.5" customHeight="1">
      <c r="A116" s="31" t="s">
        <v>152</v>
      </c>
      <c r="B116" s="32">
        <v>15</v>
      </c>
      <c r="C116" s="32">
        <v>18004390</v>
      </c>
      <c r="D116" s="28">
        <v>7</v>
      </c>
      <c r="E116" s="28">
        <v>7</v>
      </c>
      <c r="F116" s="28">
        <v>10</v>
      </c>
      <c r="G116" s="28">
        <v>10</v>
      </c>
      <c r="H116" s="28">
        <v>0</v>
      </c>
      <c r="I116" s="28">
        <v>0</v>
      </c>
      <c r="J116" s="28">
        <v>7</v>
      </c>
      <c r="K116" s="29">
        <v>-1</v>
      </c>
      <c r="L116" s="29">
        <v>10</v>
      </c>
      <c r="M116" s="28">
        <v>7</v>
      </c>
      <c r="N116" s="28">
        <v>10</v>
      </c>
      <c r="O116" s="28">
        <v>10</v>
      </c>
      <c r="P116" s="28">
        <v>0</v>
      </c>
      <c r="Q116" s="28">
        <v>0</v>
      </c>
      <c r="R116" s="28">
        <v>7</v>
      </c>
      <c r="S116" s="28">
        <v>7</v>
      </c>
      <c r="T116" s="29">
        <v>1</v>
      </c>
      <c r="U116" s="30">
        <v>0</v>
      </c>
      <c r="V116" s="28">
        <v>0</v>
      </c>
      <c r="W116" s="28">
        <v>10</v>
      </c>
      <c r="X116" s="28">
        <v>0</v>
      </c>
      <c r="Y116" s="28">
        <v>0</v>
      </c>
      <c r="Z116" s="28">
        <v>7</v>
      </c>
      <c r="AA116" s="28">
        <v>7</v>
      </c>
      <c r="AB116" s="28">
        <v>10</v>
      </c>
      <c r="AC116" s="29">
        <v>-6</v>
      </c>
      <c r="AD116" s="30">
        <v>0</v>
      </c>
      <c r="AE116" s="28">
        <v>10</v>
      </c>
      <c r="AF116" s="28">
        <v>0</v>
      </c>
      <c r="AG116" s="28">
        <v>0</v>
      </c>
      <c r="AH116" s="28">
        <v>7</v>
      </c>
      <c r="AI116" s="28">
        <v>7</v>
      </c>
      <c r="AJ116" s="28">
        <v>10</v>
      </c>
      <c r="AK116" s="28">
        <v>10</v>
      </c>
      <c r="AL116" s="29">
        <v>4</v>
      </c>
      <c r="AM116" s="30">
        <v>0</v>
      </c>
    </row>
    <row r="117" spans="1:39" s="1" customFormat="1" ht="16.5" customHeight="1">
      <c r="A117" s="31" t="s">
        <v>364</v>
      </c>
      <c r="B117" s="32">
        <v>15</v>
      </c>
      <c r="C117" s="32">
        <v>18004588</v>
      </c>
      <c r="D117" s="28">
        <v>7</v>
      </c>
      <c r="E117" s="28">
        <v>0</v>
      </c>
      <c r="F117" s="28">
        <v>7</v>
      </c>
      <c r="G117" s="28">
        <v>7</v>
      </c>
      <c r="H117" s="28">
        <v>7</v>
      </c>
      <c r="I117" s="28">
        <v>7</v>
      </c>
      <c r="J117" s="28">
        <v>7</v>
      </c>
      <c r="K117" s="29">
        <v>3</v>
      </c>
      <c r="L117" s="29">
        <v>7</v>
      </c>
      <c r="M117" s="28">
        <v>7</v>
      </c>
      <c r="N117" s="28">
        <v>0</v>
      </c>
      <c r="O117" s="28">
        <v>7</v>
      </c>
      <c r="P117" s="28">
        <v>7</v>
      </c>
      <c r="Q117" s="28">
        <v>7</v>
      </c>
      <c r="R117" s="28">
        <v>7</v>
      </c>
      <c r="S117" s="28">
        <v>7</v>
      </c>
      <c r="T117" s="29">
        <v>2</v>
      </c>
      <c r="U117" s="30">
        <v>0</v>
      </c>
      <c r="V117" s="28">
        <v>7</v>
      </c>
      <c r="W117" s="28">
        <v>0</v>
      </c>
      <c r="X117" s="28">
        <v>7</v>
      </c>
      <c r="Y117" s="28">
        <v>7</v>
      </c>
      <c r="Z117" s="28">
        <v>7</v>
      </c>
      <c r="AA117" s="28">
        <v>7</v>
      </c>
      <c r="AB117" s="28">
        <v>7</v>
      </c>
      <c r="AC117" s="29">
        <v>2</v>
      </c>
      <c r="AD117" s="30">
        <v>0</v>
      </c>
      <c r="AE117" s="28">
        <v>7</v>
      </c>
      <c r="AF117" s="28">
        <v>0</v>
      </c>
      <c r="AG117" s="28">
        <v>7</v>
      </c>
      <c r="AH117" s="28">
        <v>7</v>
      </c>
      <c r="AI117" s="28">
        <v>7</v>
      </c>
      <c r="AJ117" s="28">
        <v>7</v>
      </c>
      <c r="AK117" s="28">
        <v>7</v>
      </c>
      <c r="AL117" s="29">
        <v>2</v>
      </c>
      <c r="AM117" s="30">
        <v>0</v>
      </c>
    </row>
    <row r="118" spans="1:39" s="1" customFormat="1" ht="16.5" customHeight="1">
      <c r="A118" s="31" t="s">
        <v>321</v>
      </c>
      <c r="B118" s="32">
        <v>15</v>
      </c>
      <c r="C118" s="32">
        <v>18008466</v>
      </c>
      <c r="D118" s="28">
        <v>0</v>
      </c>
      <c r="E118" s="28">
        <v>0</v>
      </c>
      <c r="F118" s="28">
        <v>7</v>
      </c>
      <c r="G118" s="28">
        <v>7</v>
      </c>
      <c r="H118" s="28">
        <v>10</v>
      </c>
      <c r="I118" s="28">
        <v>10</v>
      </c>
      <c r="J118" s="28">
        <v>0</v>
      </c>
      <c r="K118" s="29">
        <v>-5</v>
      </c>
      <c r="L118" s="29">
        <v>7</v>
      </c>
      <c r="M118" s="28">
        <v>0</v>
      </c>
      <c r="N118" s="28">
        <v>7</v>
      </c>
      <c r="O118" s="28">
        <v>7</v>
      </c>
      <c r="P118" s="28">
        <v>10</v>
      </c>
      <c r="Q118" s="28">
        <v>10</v>
      </c>
      <c r="R118" s="28">
        <v>0</v>
      </c>
      <c r="S118" s="28">
        <v>0</v>
      </c>
      <c r="T118" s="29">
        <v>-6</v>
      </c>
      <c r="U118" s="30">
        <v>0</v>
      </c>
      <c r="V118" s="28">
        <v>0</v>
      </c>
      <c r="W118" s="28">
        <v>0</v>
      </c>
      <c r="X118" s="28">
        <v>10</v>
      </c>
      <c r="Y118" s="28">
        <v>10</v>
      </c>
      <c r="Z118" s="28">
        <v>0</v>
      </c>
      <c r="AA118" s="28">
        <v>0</v>
      </c>
      <c r="AB118" s="28">
        <v>7</v>
      </c>
      <c r="AC118" s="29">
        <v>-13</v>
      </c>
      <c r="AD118" s="30">
        <v>0</v>
      </c>
      <c r="AE118" s="28">
        <v>7</v>
      </c>
      <c r="AF118" s="28">
        <v>10</v>
      </c>
      <c r="AG118" s="28">
        <v>10</v>
      </c>
      <c r="AH118" s="28">
        <v>0</v>
      </c>
      <c r="AI118" s="28">
        <v>0</v>
      </c>
      <c r="AJ118" s="28">
        <v>7</v>
      </c>
      <c r="AK118" s="28">
        <v>7</v>
      </c>
      <c r="AL118" s="29">
        <v>1</v>
      </c>
      <c r="AM118" s="30">
        <v>0</v>
      </c>
    </row>
    <row r="119" spans="1:39" s="1" customFormat="1" ht="16.5" customHeight="1">
      <c r="A119" s="31" t="s">
        <v>182</v>
      </c>
      <c r="B119" s="32">
        <v>15</v>
      </c>
      <c r="C119" s="32">
        <v>18004319</v>
      </c>
      <c r="D119" s="28">
        <v>10</v>
      </c>
      <c r="E119" s="28">
        <v>0</v>
      </c>
      <c r="F119" s="28">
        <v>14</v>
      </c>
      <c r="G119" s="28">
        <v>10</v>
      </c>
      <c r="H119" s="28">
        <v>0</v>
      </c>
      <c r="I119" s="28">
        <v>14</v>
      </c>
      <c r="J119" s="28">
        <v>10</v>
      </c>
      <c r="K119" s="29">
        <v>12</v>
      </c>
      <c r="L119" s="29">
        <v>14</v>
      </c>
      <c r="M119" s="28">
        <v>0</v>
      </c>
      <c r="N119" s="28">
        <v>14</v>
      </c>
      <c r="O119" s="28">
        <v>10</v>
      </c>
      <c r="P119" s="28">
        <v>0</v>
      </c>
      <c r="Q119" s="28">
        <v>14</v>
      </c>
      <c r="R119" s="28">
        <v>10</v>
      </c>
      <c r="S119" s="28">
        <v>0</v>
      </c>
      <c r="T119" s="29">
        <v>8</v>
      </c>
      <c r="U119" s="30">
        <v>0</v>
      </c>
      <c r="V119" s="28">
        <v>7</v>
      </c>
      <c r="W119" s="28">
        <v>10</v>
      </c>
      <c r="X119" s="28">
        <v>0</v>
      </c>
      <c r="Y119" s="28">
        <v>14</v>
      </c>
      <c r="Z119" s="28">
        <v>10</v>
      </c>
      <c r="AA119" s="28">
        <v>0</v>
      </c>
      <c r="AB119" s="28">
        <v>14</v>
      </c>
      <c r="AC119" s="29">
        <v>15</v>
      </c>
      <c r="AD119" s="30">
        <v>0</v>
      </c>
      <c r="AE119" s="28">
        <v>10</v>
      </c>
      <c r="AF119" s="28">
        <v>0</v>
      </c>
      <c r="AG119" s="28">
        <v>0</v>
      </c>
      <c r="AH119" s="28">
        <v>0</v>
      </c>
      <c r="AI119" s="28">
        <v>7</v>
      </c>
      <c r="AJ119" s="28">
        <v>7</v>
      </c>
      <c r="AK119" s="28">
        <v>7</v>
      </c>
      <c r="AL119" s="29">
        <v>-9</v>
      </c>
      <c r="AM119" s="30">
        <v>0</v>
      </c>
    </row>
    <row r="120" spans="1:39" s="1" customFormat="1" ht="16.5" customHeight="1">
      <c r="A120" s="31" t="s">
        <v>177</v>
      </c>
      <c r="B120" s="32">
        <v>15</v>
      </c>
      <c r="C120" s="32">
        <v>18004389</v>
      </c>
      <c r="D120" s="28">
        <v>14</v>
      </c>
      <c r="E120" s="28">
        <v>10</v>
      </c>
      <c r="F120" s="28">
        <v>0</v>
      </c>
      <c r="G120" s="28">
        <v>7</v>
      </c>
      <c r="H120" s="28">
        <v>10</v>
      </c>
      <c r="I120" s="28">
        <v>10</v>
      </c>
      <c r="J120" s="28">
        <v>0</v>
      </c>
      <c r="K120" s="29">
        <v>19</v>
      </c>
      <c r="L120" s="29">
        <v>0</v>
      </c>
      <c r="M120" s="28">
        <v>14</v>
      </c>
      <c r="N120" s="28" t="s">
        <v>68</v>
      </c>
      <c r="O120" s="28" t="s">
        <v>68</v>
      </c>
      <c r="P120" s="28" t="s">
        <v>68</v>
      </c>
      <c r="Q120" s="28" t="s">
        <v>68</v>
      </c>
      <c r="R120" s="28" t="s">
        <v>68</v>
      </c>
      <c r="S120" s="28" t="s">
        <v>68</v>
      </c>
      <c r="T120" s="29">
        <v>14</v>
      </c>
      <c r="U120" s="30">
        <v>0</v>
      </c>
      <c r="V120" s="28" t="s">
        <v>68</v>
      </c>
      <c r="W120" s="28" t="s">
        <v>68</v>
      </c>
      <c r="X120" s="28" t="s">
        <v>68</v>
      </c>
      <c r="Y120" s="28" t="s">
        <v>101</v>
      </c>
      <c r="Z120" s="28" t="s">
        <v>101</v>
      </c>
      <c r="AA120" s="28" t="s">
        <v>101</v>
      </c>
      <c r="AB120" s="28" t="s">
        <v>101</v>
      </c>
      <c r="AC120" s="29">
        <v>0</v>
      </c>
      <c r="AD120" s="30">
        <v>0</v>
      </c>
      <c r="AE120" s="28" t="s">
        <v>101</v>
      </c>
      <c r="AF120" s="28" t="s">
        <v>101</v>
      </c>
      <c r="AG120" s="28">
        <v>7</v>
      </c>
      <c r="AH120" s="28">
        <v>7</v>
      </c>
      <c r="AI120" s="28">
        <v>7</v>
      </c>
      <c r="AJ120" s="28">
        <v>7</v>
      </c>
      <c r="AK120" s="28">
        <v>10</v>
      </c>
      <c r="AL120" s="29">
        <v>-2</v>
      </c>
      <c r="AM120" s="30">
        <v>0</v>
      </c>
    </row>
    <row r="121" spans="1:39" s="1" customFormat="1" ht="16.5" customHeight="1">
      <c r="A121" s="31" t="s">
        <v>178</v>
      </c>
      <c r="B121" s="32">
        <v>15</v>
      </c>
      <c r="C121" s="32">
        <v>18004427</v>
      </c>
      <c r="D121" s="28">
        <v>0</v>
      </c>
      <c r="E121" s="28">
        <v>14</v>
      </c>
      <c r="F121" s="28">
        <v>10</v>
      </c>
      <c r="G121" s="28">
        <v>0</v>
      </c>
      <c r="H121" s="28">
        <v>7</v>
      </c>
      <c r="I121" s="28">
        <v>0</v>
      </c>
      <c r="J121" s="28">
        <v>0</v>
      </c>
      <c r="K121" s="29">
        <v>-11</v>
      </c>
      <c r="L121" s="29">
        <v>10</v>
      </c>
      <c r="M121" s="28">
        <v>0</v>
      </c>
      <c r="N121" s="28">
        <v>10</v>
      </c>
      <c r="O121" s="28">
        <v>0</v>
      </c>
      <c r="P121" s="28">
        <v>14</v>
      </c>
      <c r="Q121" s="28">
        <v>10</v>
      </c>
      <c r="R121" s="28">
        <v>0</v>
      </c>
      <c r="S121" s="28">
        <v>14</v>
      </c>
      <c r="T121" s="29">
        <v>8</v>
      </c>
      <c r="U121" s="30">
        <v>0</v>
      </c>
      <c r="V121" s="28">
        <v>0</v>
      </c>
      <c r="W121" s="28">
        <v>0</v>
      </c>
      <c r="X121" s="28">
        <v>14</v>
      </c>
      <c r="Y121" s="28">
        <v>10</v>
      </c>
      <c r="Z121" s="28">
        <v>0</v>
      </c>
      <c r="AA121" s="28">
        <v>14</v>
      </c>
      <c r="AB121" s="28">
        <v>10</v>
      </c>
      <c r="AC121" s="29">
        <v>8</v>
      </c>
      <c r="AD121" s="30">
        <v>0</v>
      </c>
      <c r="AE121" s="28">
        <v>0</v>
      </c>
      <c r="AF121" s="28">
        <v>14</v>
      </c>
      <c r="AG121" s="28">
        <v>7</v>
      </c>
      <c r="AH121" s="28">
        <v>7</v>
      </c>
      <c r="AI121" s="28">
        <v>10</v>
      </c>
      <c r="AJ121" s="28">
        <v>10</v>
      </c>
      <c r="AK121" s="28">
        <v>0</v>
      </c>
      <c r="AL121" s="29">
        <v>8</v>
      </c>
      <c r="AM121" s="30">
        <v>0</v>
      </c>
    </row>
    <row r="122" spans="1:39" s="1" customFormat="1" ht="16.5" customHeight="1">
      <c r="A122" s="31" t="s">
        <v>175</v>
      </c>
      <c r="B122" s="32">
        <v>15</v>
      </c>
      <c r="C122" s="32">
        <v>18004585</v>
      </c>
      <c r="D122" s="28" t="s">
        <v>67</v>
      </c>
      <c r="E122" s="28" t="s">
        <v>68</v>
      </c>
      <c r="F122" s="28" t="s">
        <v>68</v>
      </c>
      <c r="G122" s="28">
        <v>7</v>
      </c>
      <c r="H122" s="28">
        <v>7</v>
      </c>
      <c r="I122" s="28">
        <v>0</v>
      </c>
      <c r="J122" s="28">
        <v>14</v>
      </c>
      <c r="K122" s="29">
        <v>-4</v>
      </c>
      <c r="L122" s="29">
        <v>0</v>
      </c>
      <c r="M122" s="28">
        <v>10</v>
      </c>
      <c r="N122" s="28">
        <v>0</v>
      </c>
      <c r="O122" s="28">
        <v>14</v>
      </c>
      <c r="P122" s="28">
        <v>10</v>
      </c>
      <c r="Q122" s="28">
        <v>0</v>
      </c>
      <c r="R122" s="28">
        <v>14</v>
      </c>
      <c r="S122" s="28">
        <v>10</v>
      </c>
      <c r="T122" s="29">
        <v>18</v>
      </c>
      <c r="U122" s="30">
        <v>0</v>
      </c>
      <c r="V122" s="28">
        <v>0</v>
      </c>
      <c r="W122" s="28">
        <v>0</v>
      </c>
      <c r="X122" s="28">
        <v>10</v>
      </c>
      <c r="Y122" s="28">
        <v>0</v>
      </c>
      <c r="Z122" s="28">
        <v>14</v>
      </c>
      <c r="AA122" s="28">
        <v>10</v>
      </c>
      <c r="AB122" s="28">
        <v>0</v>
      </c>
      <c r="AC122" s="29">
        <v>-6</v>
      </c>
      <c r="AD122" s="30">
        <v>0</v>
      </c>
      <c r="AE122" s="28">
        <v>14</v>
      </c>
      <c r="AF122" s="28">
        <v>10</v>
      </c>
      <c r="AG122" s="28">
        <v>10</v>
      </c>
      <c r="AH122" s="28">
        <v>10</v>
      </c>
      <c r="AI122" s="28">
        <v>0</v>
      </c>
      <c r="AJ122" s="28">
        <v>0</v>
      </c>
      <c r="AK122" s="28">
        <v>7</v>
      </c>
      <c r="AL122" s="29">
        <v>11</v>
      </c>
      <c r="AM122" s="30">
        <v>0</v>
      </c>
    </row>
    <row r="123" spans="1:39" s="1" customFormat="1" ht="16.5" customHeight="1">
      <c r="A123" s="31" t="s">
        <v>183</v>
      </c>
      <c r="B123" s="32">
        <v>15</v>
      </c>
      <c r="C123" s="32">
        <v>18004081</v>
      </c>
      <c r="D123" s="28">
        <v>10</v>
      </c>
      <c r="E123" s="28">
        <v>0</v>
      </c>
      <c r="F123" s="28">
        <v>0</v>
      </c>
      <c r="G123" s="28">
        <v>7</v>
      </c>
      <c r="H123" s="28">
        <v>7</v>
      </c>
      <c r="I123" s="28">
        <v>10</v>
      </c>
      <c r="J123" s="28">
        <v>10</v>
      </c>
      <c r="K123" s="29">
        <v>12</v>
      </c>
      <c r="L123" s="29">
        <v>0</v>
      </c>
      <c r="M123" s="28">
        <v>0</v>
      </c>
      <c r="N123" s="28">
        <v>0</v>
      </c>
      <c r="O123" s="28">
        <v>7</v>
      </c>
      <c r="P123" s="28">
        <v>7</v>
      </c>
      <c r="Q123" s="28">
        <v>10</v>
      </c>
      <c r="R123" s="28">
        <v>10</v>
      </c>
      <c r="S123" s="28">
        <v>0</v>
      </c>
      <c r="T123" s="29">
        <v>-6</v>
      </c>
      <c r="U123" s="30">
        <v>0</v>
      </c>
      <c r="V123" s="28">
        <v>0</v>
      </c>
      <c r="W123" s="28">
        <v>0</v>
      </c>
      <c r="X123" s="28">
        <v>7</v>
      </c>
      <c r="Y123" s="28">
        <v>10</v>
      </c>
      <c r="Z123" s="28">
        <v>10</v>
      </c>
      <c r="AA123" s="28">
        <v>0</v>
      </c>
      <c r="AB123" s="28">
        <v>0</v>
      </c>
      <c r="AC123" s="29">
        <v>-13</v>
      </c>
      <c r="AD123" s="30">
        <v>0</v>
      </c>
      <c r="AE123" s="28">
        <v>7</v>
      </c>
      <c r="AF123" s="28">
        <v>7</v>
      </c>
      <c r="AG123" s="28">
        <v>10</v>
      </c>
      <c r="AH123" s="28">
        <v>10</v>
      </c>
      <c r="AI123" s="28">
        <v>0</v>
      </c>
      <c r="AJ123" s="28">
        <v>0</v>
      </c>
      <c r="AK123" s="28">
        <v>7</v>
      </c>
      <c r="AL123" s="29">
        <v>1</v>
      </c>
      <c r="AM123" s="30">
        <v>0</v>
      </c>
    </row>
    <row r="124" spans="1:39" s="1" customFormat="1" ht="16.5" customHeight="1">
      <c r="A124" s="31" t="s">
        <v>185</v>
      </c>
      <c r="B124" s="32">
        <v>15</v>
      </c>
      <c r="C124" s="32">
        <v>18007737</v>
      </c>
      <c r="D124" s="28">
        <v>7</v>
      </c>
      <c r="E124" s="28">
        <v>10</v>
      </c>
      <c r="F124" s="28">
        <v>10</v>
      </c>
      <c r="G124" s="28">
        <v>0</v>
      </c>
      <c r="H124" s="28">
        <v>0</v>
      </c>
      <c r="I124" s="28">
        <v>7</v>
      </c>
      <c r="J124" s="28">
        <v>7</v>
      </c>
      <c r="K124" s="29">
        <v>-1</v>
      </c>
      <c r="L124" s="29">
        <v>10</v>
      </c>
      <c r="M124" s="28">
        <v>10</v>
      </c>
      <c r="N124" s="28">
        <v>10</v>
      </c>
      <c r="O124" s="28">
        <v>0</v>
      </c>
      <c r="P124" s="28">
        <v>0</v>
      </c>
      <c r="Q124" s="28">
        <v>7</v>
      </c>
      <c r="R124" s="28">
        <v>7</v>
      </c>
      <c r="S124" s="28">
        <v>10</v>
      </c>
      <c r="T124" s="29">
        <v>4</v>
      </c>
      <c r="U124" s="30">
        <v>0</v>
      </c>
      <c r="V124" s="28">
        <v>0</v>
      </c>
      <c r="W124" s="28">
        <v>0</v>
      </c>
      <c r="X124" s="28">
        <v>0</v>
      </c>
      <c r="Y124" s="28">
        <v>7</v>
      </c>
      <c r="Z124" s="28">
        <v>7</v>
      </c>
      <c r="AA124" s="28">
        <v>10</v>
      </c>
      <c r="AB124" s="28">
        <v>10</v>
      </c>
      <c r="AC124" s="29">
        <v>-6</v>
      </c>
      <c r="AD124" s="30">
        <v>0</v>
      </c>
      <c r="AE124" s="28">
        <v>0</v>
      </c>
      <c r="AF124" s="28">
        <v>0</v>
      </c>
      <c r="AG124" s="28">
        <v>7</v>
      </c>
      <c r="AH124" s="28">
        <v>7</v>
      </c>
      <c r="AI124" s="28">
        <v>10</v>
      </c>
      <c r="AJ124" s="28">
        <v>10</v>
      </c>
      <c r="AK124" s="28">
        <v>0</v>
      </c>
      <c r="AL124" s="29">
        <v>-6</v>
      </c>
      <c r="AM124" s="30">
        <v>0</v>
      </c>
    </row>
    <row r="125" spans="1:39" s="1" customFormat="1" ht="16.5" customHeight="1">
      <c r="A125" s="31" t="s">
        <v>173</v>
      </c>
      <c r="B125" s="32">
        <v>15</v>
      </c>
      <c r="C125" s="32">
        <v>18004633</v>
      </c>
      <c r="D125" s="28">
        <v>0</v>
      </c>
      <c r="E125" s="28">
        <v>7</v>
      </c>
      <c r="F125" s="28">
        <v>7</v>
      </c>
      <c r="G125" s="28">
        <v>10</v>
      </c>
      <c r="H125" s="28">
        <v>10</v>
      </c>
      <c r="I125" s="28">
        <v>0</v>
      </c>
      <c r="J125" s="28">
        <v>0</v>
      </c>
      <c r="K125" s="29">
        <v>-5</v>
      </c>
      <c r="L125" s="29">
        <v>7</v>
      </c>
      <c r="M125" s="28">
        <v>7</v>
      </c>
      <c r="N125" s="28">
        <v>14</v>
      </c>
      <c r="O125" s="28">
        <v>10</v>
      </c>
      <c r="P125" s="28">
        <v>10</v>
      </c>
      <c r="Q125" s="28">
        <v>0</v>
      </c>
      <c r="R125" s="28">
        <v>0</v>
      </c>
      <c r="S125" s="28">
        <v>7</v>
      </c>
      <c r="T125" s="29">
        <v>8</v>
      </c>
      <c r="U125" s="30">
        <v>0</v>
      </c>
      <c r="V125" s="28">
        <v>0</v>
      </c>
      <c r="W125" s="28">
        <v>10</v>
      </c>
      <c r="X125" s="28">
        <v>10</v>
      </c>
      <c r="Y125" s="28">
        <v>0</v>
      </c>
      <c r="Z125" s="28">
        <v>0</v>
      </c>
      <c r="AA125" s="28">
        <v>7</v>
      </c>
      <c r="AB125" s="28">
        <v>7</v>
      </c>
      <c r="AC125" s="29">
        <v>-6</v>
      </c>
      <c r="AD125" s="30">
        <v>0</v>
      </c>
      <c r="AE125" s="28">
        <v>10</v>
      </c>
      <c r="AF125" s="28">
        <v>10</v>
      </c>
      <c r="AG125" s="28">
        <v>0</v>
      </c>
      <c r="AH125" s="28">
        <v>0</v>
      </c>
      <c r="AI125" s="28">
        <v>7</v>
      </c>
      <c r="AJ125" s="28">
        <v>7</v>
      </c>
      <c r="AK125" s="28">
        <v>10</v>
      </c>
      <c r="AL125" s="29">
        <v>4</v>
      </c>
      <c r="AM125" s="30">
        <v>0</v>
      </c>
    </row>
    <row r="126" spans="1:39" s="1" customFormat="1" ht="16.5" customHeight="1">
      <c r="A126" s="31" t="s">
        <v>170</v>
      </c>
      <c r="B126" s="32">
        <v>15</v>
      </c>
      <c r="C126" s="32">
        <v>18004539</v>
      </c>
      <c r="D126" s="28">
        <v>10</v>
      </c>
      <c r="E126" s="28">
        <v>0</v>
      </c>
      <c r="F126" s="28">
        <v>0</v>
      </c>
      <c r="G126" s="28">
        <v>7</v>
      </c>
      <c r="H126" s="28">
        <v>7</v>
      </c>
      <c r="I126" s="28">
        <v>10</v>
      </c>
      <c r="J126" s="28">
        <v>10</v>
      </c>
      <c r="K126" s="29">
        <v>12</v>
      </c>
      <c r="L126" s="29">
        <v>0</v>
      </c>
      <c r="M126" s="28">
        <v>0</v>
      </c>
      <c r="N126" s="28">
        <v>0</v>
      </c>
      <c r="O126" s="28">
        <v>7</v>
      </c>
      <c r="P126" s="28">
        <v>7</v>
      </c>
      <c r="Q126" s="28">
        <v>7</v>
      </c>
      <c r="R126" s="28">
        <v>7</v>
      </c>
      <c r="S126" s="28">
        <v>10</v>
      </c>
      <c r="T126" s="29">
        <v>-2</v>
      </c>
      <c r="U126" s="30">
        <v>0</v>
      </c>
      <c r="V126" s="28">
        <v>0</v>
      </c>
      <c r="W126" s="28">
        <v>0</v>
      </c>
      <c r="X126" s="28">
        <v>0</v>
      </c>
      <c r="Y126" s="28">
        <v>7</v>
      </c>
      <c r="Z126" s="28">
        <v>7</v>
      </c>
      <c r="AA126" s="28">
        <v>7</v>
      </c>
      <c r="AB126" s="28">
        <v>7</v>
      </c>
      <c r="AC126" s="29">
        <v>-12</v>
      </c>
      <c r="AD126" s="30">
        <v>0</v>
      </c>
      <c r="AE126" s="28">
        <v>10</v>
      </c>
      <c r="AF126" s="28">
        <v>10</v>
      </c>
      <c r="AG126" s="28">
        <v>0</v>
      </c>
      <c r="AH126" s="28">
        <v>0</v>
      </c>
      <c r="AI126" s="28">
        <v>7</v>
      </c>
      <c r="AJ126" s="28">
        <v>7</v>
      </c>
      <c r="AK126" s="28">
        <v>7</v>
      </c>
      <c r="AL126" s="29">
        <v>1</v>
      </c>
      <c r="AM126" s="30">
        <v>0</v>
      </c>
    </row>
    <row r="127" spans="1:39" s="1" customFormat="1" ht="16.5" customHeight="1">
      <c r="A127" s="31" t="s">
        <v>169</v>
      </c>
      <c r="B127" s="32">
        <v>15</v>
      </c>
      <c r="C127" s="32">
        <v>18004616</v>
      </c>
      <c r="D127" s="28">
        <v>7</v>
      </c>
      <c r="E127" s="28">
        <v>0</v>
      </c>
      <c r="F127" s="28">
        <v>7</v>
      </c>
      <c r="G127" s="28">
        <v>7</v>
      </c>
      <c r="H127" s="28">
        <v>7</v>
      </c>
      <c r="I127" s="28">
        <v>7</v>
      </c>
      <c r="J127" s="28">
        <v>7</v>
      </c>
      <c r="K127" s="29">
        <v>3</v>
      </c>
      <c r="L127" s="29">
        <v>7</v>
      </c>
      <c r="M127" s="28">
        <v>7</v>
      </c>
      <c r="N127" s="28">
        <v>0</v>
      </c>
      <c r="O127" s="28">
        <v>7</v>
      </c>
      <c r="P127" s="28">
        <v>7</v>
      </c>
      <c r="Q127" s="28">
        <v>7</v>
      </c>
      <c r="R127" s="28">
        <v>7</v>
      </c>
      <c r="S127" s="28">
        <v>7</v>
      </c>
      <c r="T127" s="29">
        <v>2</v>
      </c>
      <c r="U127" s="30">
        <v>0</v>
      </c>
      <c r="V127" s="28">
        <v>7</v>
      </c>
      <c r="W127" s="28">
        <v>0</v>
      </c>
      <c r="X127" s="28">
        <v>7</v>
      </c>
      <c r="Y127" s="28">
        <v>7</v>
      </c>
      <c r="Z127" s="28">
        <v>7</v>
      </c>
      <c r="AA127" s="28">
        <v>7</v>
      </c>
      <c r="AB127" s="28">
        <v>7</v>
      </c>
      <c r="AC127" s="29">
        <v>2</v>
      </c>
      <c r="AD127" s="30">
        <v>0</v>
      </c>
      <c r="AE127" s="28">
        <v>7</v>
      </c>
      <c r="AF127" s="28">
        <v>0</v>
      </c>
      <c r="AG127" s="28">
        <v>7</v>
      </c>
      <c r="AH127" s="28">
        <v>7</v>
      </c>
      <c r="AI127" s="28">
        <v>7</v>
      </c>
      <c r="AJ127" s="28">
        <v>7</v>
      </c>
      <c r="AK127" s="28">
        <v>7</v>
      </c>
      <c r="AL127" s="29">
        <v>2</v>
      </c>
      <c r="AM127" s="30">
        <v>0</v>
      </c>
    </row>
    <row r="128" spans="1:39" s="1" customFormat="1" ht="16.5" customHeight="1">
      <c r="A128" s="31" t="s">
        <v>171</v>
      </c>
      <c r="B128" s="32">
        <v>15</v>
      </c>
      <c r="C128" s="32">
        <v>18004168</v>
      </c>
      <c r="D128" s="28">
        <v>7</v>
      </c>
      <c r="E128" s="28">
        <v>7</v>
      </c>
      <c r="F128" s="28">
        <v>7</v>
      </c>
      <c r="G128" s="28">
        <v>7</v>
      </c>
      <c r="H128" s="28">
        <v>7</v>
      </c>
      <c r="I128" s="28">
        <v>7</v>
      </c>
      <c r="J128" s="28">
        <v>7</v>
      </c>
      <c r="K128" s="29">
        <v>10</v>
      </c>
      <c r="L128" s="29">
        <v>7</v>
      </c>
      <c r="M128" s="28">
        <v>7</v>
      </c>
      <c r="N128" s="28">
        <v>7</v>
      </c>
      <c r="O128" s="28">
        <v>10</v>
      </c>
      <c r="P128" s="28">
        <v>10</v>
      </c>
      <c r="Q128" s="28">
        <v>0</v>
      </c>
      <c r="R128" s="28">
        <v>0</v>
      </c>
      <c r="S128" s="28">
        <v>7</v>
      </c>
      <c r="T128" s="29">
        <v>1</v>
      </c>
      <c r="U128" s="30">
        <v>0</v>
      </c>
      <c r="V128" s="28">
        <v>7</v>
      </c>
      <c r="W128" s="28">
        <v>0</v>
      </c>
      <c r="X128" s="28">
        <v>7</v>
      </c>
      <c r="Y128" s="28">
        <v>10</v>
      </c>
      <c r="Z128" s="28">
        <v>10</v>
      </c>
      <c r="AA128" s="28">
        <v>0</v>
      </c>
      <c r="AB128" s="28">
        <v>0</v>
      </c>
      <c r="AC128" s="29">
        <v>-6</v>
      </c>
      <c r="AD128" s="30">
        <v>0</v>
      </c>
      <c r="AE128" s="28">
        <v>7</v>
      </c>
      <c r="AF128" s="28">
        <v>7</v>
      </c>
      <c r="AG128" s="28">
        <v>7</v>
      </c>
      <c r="AH128" s="28">
        <v>7</v>
      </c>
      <c r="AI128" s="28">
        <v>10</v>
      </c>
      <c r="AJ128" s="28">
        <v>10</v>
      </c>
      <c r="AK128" s="28">
        <v>0</v>
      </c>
      <c r="AL128" s="29">
        <v>8</v>
      </c>
      <c r="AM128" s="30">
        <v>0</v>
      </c>
    </row>
    <row r="129" spans="1:41" s="1" customFormat="1" ht="16.5" customHeight="1">
      <c r="A129" s="31" t="s">
        <v>174</v>
      </c>
      <c r="B129" s="32">
        <v>15</v>
      </c>
      <c r="C129" s="32">
        <v>18004515</v>
      </c>
      <c r="D129" s="28">
        <v>7</v>
      </c>
      <c r="E129" s="28">
        <v>10</v>
      </c>
      <c r="F129" s="28">
        <v>10</v>
      </c>
      <c r="G129" s="28">
        <v>0</v>
      </c>
      <c r="H129" s="28">
        <v>0</v>
      </c>
      <c r="I129" s="28">
        <v>7</v>
      </c>
      <c r="J129" s="28">
        <v>7</v>
      </c>
      <c r="K129" s="29">
        <v>-1</v>
      </c>
      <c r="L129" s="29">
        <v>10</v>
      </c>
      <c r="M129" s="28">
        <v>10</v>
      </c>
      <c r="N129" s="28">
        <v>10</v>
      </c>
      <c r="O129" s="28">
        <v>0</v>
      </c>
      <c r="P129" s="28">
        <v>0</v>
      </c>
      <c r="Q129" s="28">
        <v>7</v>
      </c>
      <c r="R129" s="28">
        <v>7</v>
      </c>
      <c r="S129" s="28">
        <v>7</v>
      </c>
      <c r="T129" s="29">
        <v>1</v>
      </c>
      <c r="U129" s="30">
        <v>0</v>
      </c>
      <c r="V129" s="28">
        <v>0</v>
      </c>
      <c r="W129" s="28">
        <v>10</v>
      </c>
      <c r="X129" s="28">
        <v>10</v>
      </c>
      <c r="Y129" s="28">
        <v>0</v>
      </c>
      <c r="Z129" s="28">
        <v>0</v>
      </c>
      <c r="AA129" s="28">
        <v>7</v>
      </c>
      <c r="AB129" s="28">
        <v>7</v>
      </c>
      <c r="AC129" s="29">
        <v>-6</v>
      </c>
      <c r="AD129" s="30">
        <v>0</v>
      </c>
      <c r="AE129" s="28">
        <v>7</v>
      </c>
      <c r="AF129" s="28">
        <v>7</v>
      </c>
      <c r="AG129" s="28">
        <v>10</v>
      </c>
      <c r="AH129" s="28">
        <v>10</v>
      </c>
      <c r="AI129" s="28">
        <v>0</v>
      </c>
      <c r="AJ129" s="28">
        <v>0</v>
      </c>
      <c r="AK129" s="28">
        <v>7</v>
      </c>
      <c r="AL129" s="29">
        <v>1</v>
      </c>
      <c r="AM129" s="30">
        <v>0</v>
      </c>
      <c r="AO129" s="1">
        <v>8</v>
      </c>
    </row>
    <row r="130" spans="1:41" s="1" customFormat="1" ht="16.5" customHeight="1">
      <c r="A130" s="31" t="s">
        <v>348</v>
      </c>
      <c r="B130" s="32">
        <v>15</v>
      </c>
      <c r="C130" s="32">
        <v>18008457</v>
      </c>
      <c r="D130" s="28">
        <v>0</v>
      </c>
      <c r="E130" s="28">
        <v>14</v>
      </c>
      <c r="F130" s="28">
        <v>7</v>
      </c>
      <c r="G130" s="28">
        <v>10</v>
      </c>
      <c r="H130" s="28">
        <v>10</v>
      </c>
      <c r="I130" s="28">
        <v>0</v>
      </c>
      <c r="J130" s="28">
        <v>0</v>
      </c>
      <c r="K130" s="29">
        <v>2</v>
      </c>
      <c r="L130" s="29">
        <v>7</v>
      </c>
      <c r="M130" s="28">
        <v>7</v>
      </c>
      <c r="N130" s="28">
        <v>7</v>
      </c>
      <c r="O130" s="28">
        <v>7</v>
      </c>
      <c r="P130" s="28">
        <v>7</v>
      </c>
      <c r="Q130" s="28">
        <v>10</v>
      </c>
      <c r="R130" s="28">
        <v>10</v>
      </c>
      <c r="S130" s="28">
        <v>0</v>
      </c>
      <c r="T130" s="29">
        <v>8</v>
      </c>
      <c r="U130" s="30">
        <v>0</v>
      </c>
      <c r="V130" s="28">
        <v>0</v>
      </c>
      <c r="W130" s="28">
        <v>0</v>
      </c>
      <c r="X130" s="28">
        <v>7</v>
      </c>
      <c r="Y130" s="28">
        <v>7</v>
      </c>
      <c r="Z130" s="28">
        <v>7</v>
      </c>
      <c r="AA130" s="28">
        <v>10</v>
      </c>
      <c r="AB130" s="28">
        <v>10</v>
      </c>
      <c r="AC130" s="29">
        <v>1</v>
      </c>
      <c r="AD130" s="30">
        <v>0</v>
      </c>
      <c r="AE130" s="28">
        <v>0</v>
      </c>
      <c r="AF130" s="28">
        <v>0</v>
      </c>
      <c r="AG130" s="28">
        <v>7</v>
      </c>
      <c r="AH130" s="28">
        <v>7</v>
      </c>
      <c r="AI130" s="28">
        <v>7</v>
      </c>
      <c r="AJ130" s="28">
        <v>7</v>
      </c>
      <c r="AK130" s="28">
        <v>10</v>
      </c>
      <c r="AL130" s="29">
        <v>-2</v>
      </c>
      <c r="AM130" s="30">
        <v>0</v>
      </c>
    </row>
    <row r="131" spans="1:41" s="1" customFormat="1" ht="16.5" customHeight="1">
      <c r="A131" s="31" t="s">
        <v>349</v>
      </c>
      <c r="B131" s="32">
        <v>16</v>
      </c>
      <c r="C131" s="32">
        <v>18006974</v>
      </c>
      <c r="D131" s="28">
        <v>8</v>
      </c>
      <c r="E131" s="28">
        <v>10</v>
      </c>
      <c r="F131" s="28">
        <v>10</v>
      </c>
      <c r="G131" s="28">
        <v>0</v>
      </c>
      <c r="H131" s="28">
        <v>0</v>
      </c>
      <c r="I131" s="28">
        <v>7</v>
      </c>
      <c r="J131" s="28">
        <v>7</v>
      </c>
      <c r="K131" s="29">
        <v>0</v>
      </c>
      <c r="L131" s="29">
        <v>10</v>
      </c>
      <c r="M131" s="28">
        <v>14</v>
      </c>
      <c r="N131" s="28">
        <v>14</v>
      </c>
      <c r="O131" s="28">
        <v>0</v>
      </c>
      <c r="P131" s="28">
        <v>0</v>
      </c>
      <c r="Q131" s="28">
        <v>7</v>
      </c>
      <c r="R131" s="28">
        <v>7</v>
      </c>
      <c r="S131" s="28">
        <v>8</v>
      </c>
      <c r="T131" s="29">
        <v>10</v>
      </c>
      <c r="U131" s="30">
        <v>0</v>
      </c>
      <c r="V131" s="28">
        <v>8</v>
      </c>
      <c r="W131" s="28">
        <v>0</v>
      </c>
      <c r="X131" s="28">
        <v>8</v>
      </c>
      <c r="Y131" s="28">
        <v>8</v>
      </c>
      <c r="Z131" s="28">
        <v>8</v>
      </c>
      <c r="AA131" s="28">
        <v>8</v>
      </c>
      <c r="AB131" s="28">
        <v>0</v>
      </c>
      <c r="AC131" s="29">
        <v>0</v>
      </c>
      <c r="AD131" s="30">
        <v>0</v>
      </c>
      <c r="AE131" s="28">
        <v>0</v>
      </c>
      <c r="AF131" s="28">
        <v>0</v>
      </c>
      <c r="AG131" s="28" t="s">
        <v>68</v>
      </c>
      <c r="AH131" s="28" t="s">
        <v>68</v>
      </c>
      <c r="AI131" s="28" t="s">
        <v>68</v>
      </c>
      <c r="AJ131" s="28" t="s">
        <v>68</v>
      </c>
      <c r="AK131" s="28" t="s">
        <v>68</v>
      </c>
      <c r="AL131" s="29">
        <v>0</v>
      </c>
      <c r="AM131" s="30">
        <v>0</v>
      </c>
    </row>
    <row r="132" spans="1:41" s="1" customFormat="1" ht="16.5" customHeight="1">
      <c r="A132" s="31" t="s">
        <v>350</v>
      </c>
      <c r="B132" s="32">
        <v>16</v>
      </c>
      <c r="C132" s="32">
        <v>18004646</v>
      </c>
      <c r="D132" s="28">
        <v>8</v>
      </c>
      <c r="E132" s="28">
        <v>7</v>
      </c>
      <c r="F132" s="28">
        <v>7</v>
      </c>
      <c r="G132" s="28">
        <v>10</v>
      </c>
      <c r="H132" s="28">
        <v>10</v>
      </c>
      <c r="I132" s="28">
        <v>0</v>
      </c>
      <c r="J132" s="28">
        <v>8</v>
      </c>
      <c r="K132" s="29">
        <v>11</v>
      </c>
      <c r="L132" s="29">
        <v>7</v>
      </c>
      <c r="M132" s="28">
        <v>8</v>
      </c>
      <c r="N132" s="28">
        <v>14</v>
      </c>
      <c r="O132" s="28">
        <v>10</v>
      </c>
      <c r="P132" s="28">
        <v>10</v>
      </c>
      <c r="Q132" s="28">
        <v>0</v>
      </c>
      <c r="R132" s="28">
        <v>0</v>
      </c>
      <c r="S132" s="28">
        <v>8</v>
      </c>
      <c r="T132" s="29">
        <v>10</v>
      </c>
      <c r="U132" s="30">
        <v>0</v>
      </c>
      <c r="V132" s="28">
        <v>8</v>
      </c>
      <c r="W132" s="28">
        <v>0</v>
      </c>
      <c r="X132" s="28">
        <v>8</v>
      </c>
      <c r="Y132" s="28">
        <v>8</v>
      </c>
      <c r="Z132" s="28">
        <v>8</v>
      </c>
      <c r="AA132" s="28">
        <v>8</v>
      </c>
      <c r="AB132" s="28">
        <v>0</v>
      </c>
      <c r="AC132" s="29">
        <v>0</v>
      </c>
      <c r="AD132" s="30">
        <v>0</v>
      </c>
      <c r="AE132" s="28">
        <v>0</v>
      </c>
      <c r="AF132" s="28">
        <v>7</v>
      </c>
      <c r="AG132" s="28">
        <v>7</v>
      </c>
      <c r="AH132" s="28">
        <v>7</v>
      </c>
      <c r="AI132" s="28">
        <v>10</v>
      </c>
      <c r="AJ132" s="28">
        <v>10</v>
      </c>
      <c r="AK132" s="28">
        <v>0</v>
      </c>
      <c r="AL132" s="29">
        <v>1</v>
      </c>
      <c r="AM132" s="30">
        <v>0</v>
      </c>
    </row>
    <row r="133" spans="1:41" s="1" customFormat="1" ht="16.5" customHeight="1">
      <c r="A133" s="31" t="s">
        <v>351</v>
      </c>
      <c r="B133" s="32">
        <v>16</v>
      </c>
      <c r="C133" s="32">
        <v>18004587</v>
      </c>
      <c r="D133" s="28">
        <v>8</v>
      </c>
      <c r="E133" s="28">
        <v>0</v>
      </c>
      <c r="F133" s="28">
        <v>0</v>
      </c>
      <c r="G133" s="28">
        <v>7</v>
      </c>
      <c r="H133" s="28">
        <v>7</v>
      </c>
      <c r="I133" s="28">
        <v>0</v>
      </c>
      <c r="J133" s="28">
        <v>8</v>
      </c>
      <c r="K133" s="29">
        <v>-2</v>
      </c>
      <c r="L133" s="29">
        <v>0</v>
      </c>
      <c r="M133" s="28">
        <v>0</v>
      </c>
      <c r="N133" s="28">
        <v>0</v>
      </c>
      <c r="O133" s="28">
        <v>7</v>
      </c>
      <c r="P133" s="28">
        <v>7</v>
      </c>
      <c r="Q133" s="28">
        <v>10</v>
      </c>
      <c r="R133" s="28">
        <v>0</v>
      </c>
      <c r="S133" s="28">
        <v>8</v>
      </c>
      <c r="T133" s="29">
        <v>-8</v>
      </c>
      <c r="U133" s="30">
        <v>0</v>
      </c>
      <c r="V133" s="28">
        <v>8</v>
      </c>
      <c r="W133" s="28">
        <v>0</v>
      </c>
      <c r="X133" s="28">
        <v>8</v>
      </c>
      <c r="Y133" s="28">
        <v>8</v>
      </c>
      <c r="Z133" s="28">
        <v>8</v>
      </c>
      <c r="AA133" s="28">
        <v>8</v>
      </c>
      <c r="AB133" s="28">
        <v>0</v>
      </c>
      <c r="AC133" s="29">
        <v>0</v>
      </c>
      <c r="AD133" s="30">
        <v>0</v>
      </c>
      <c r="AE133" s="28">
        <v>0</v>
      </c>
      <c r="AF133" s="28">
        <v>12</v>
      </c>
      <c r="AG133" s="28">
        <v>12</v>
      </c>
      <c r="AH133" s="28">
        <v>0</v>
      </c>
      <c r="AI133" s="28">
        <v>12</v>
      </c>
      <c r="AJ133" s="28">
        <v>12</v>
      </c>
      <c r="AK133" s="28">
        <v>0</v>
      </c>
      <c r="AL133" s="29">
        <v>8</v>
      </c>
      <c r="AM133" s="30">
        <v>0</v>
      </c>
    </row>
    <row r="134" spans="1:41" s="1" customFormat="1" ht="16.5" customHeight="1">
      <c r="A134" s="31" t="s">
        <v>199</v>
      </c>
      <c r="B134" s="32">
        <v>16</v>
      </c>
      <c r="C134" s="32">
        <v>18008089</v>
      </c>
      <c r="D134" s="28">
        <v>8</v>
      </c>
      <c r="E134" s="28" t="s">
        <v>85</v>
      </c>
      <c r="F134" s="28">
        <v>0</v>
      </c>
      <c r="G134" s="28">
        <v>7</v>
      </c>
      <c r="H134" s="28">
        <v>7</v>
      </c>
      <c r="I134" s="28">
        <v>0</v>
      </c>
      <c r="J134" s="28">
        <v>8</v>
      </c>
      <c r="K134" s="29">
        <v>-2</v>
      </c>
      <c r="L134" s="29">
        <v>0</v>
      </c>
      <c r="M134" s="28">
        <v>8</v>
      </c>
      <c r="N134" s="28">
        <v>0</v>
      </c>
      <c r="O134" s="28">
        <v>7</v>
      </c>
      <c r="P134" s="28">
        <v>7</v>
      </c>
      <c r="Q134" s="28">
        <v>10</v>
      </c>
      <c r="R134" s="28">
        <v>0</v>
      </c>
      <c r="S134" s="28">
        <v>8</v>
      </c>
      <c r="T134" s="29">
        <v>0</v>
      </c>
      <c r="U134" s="30">
        <v>0</v>
      </c>
      <c r="V134" s="28">
        <v>8</v>
      </c>
      <c r="W134" s="28">
        <v>0</v>
      </c>
      <c r="X134" s="28">
        <v>8</v>
      </c>
      <c r="Y134" s="28">
        <v>8</v>
      </c>
      <c r="Z134" s="28">
        <v>8</v>
      </c>
      <c r="AA134" s="28">
        <v>8</v>
      </c>
      <c r="AB134" s="28">
        <v>0</v>
      </c>
      <c r="AC134" s="29">
        <v>0</v>
      </c>
      <c r="AD134" s="30">
        <v>0</v>
      </c>
      <c r="AE134" s="28">
        <v>0</v>
      </c>
      <c r="AF134" s="28">
        <v>0</v>
      </c>
      <c r="AG134" s="28">
        <v>7</v>
      </c>
      <c r="AH134" s="28">
        <v>7</v>
      </c>
      <c r="AI134" s="28">
        <v>7</v>
      </c>
      <c r="AJ134" s="28">
        <v>7</v>
      </c>
      <c r="AK134" s="28">
        <v>10</v>
      </c>
      <c r="AL134" s="29">
        <v>-2</v>
      </c>
      <c r="AM134" s="30">
        <v>0</v>
      </c>
    </row>
    <row r="135" spans="1:41" s="1" customFormat="1" ht="16.5" customHeight="1">
      <c r="A135" s="31" t="s">
        <v>195</v>
      </c>
      <c r="B135" s="32">
        <v>16</v>
      </c>
      <c r="C135" s="32">
        <v>18004088</v>
      </c>
      <c r="D135" s="28">
        <v>8</v>
      </c>
      <c r="E135" s="28">
        <v>10</v>
      </c>
      <c r="F135" s="28">
        <v>10</v>
      </c>
      <c r="G135" s="28">
        <v>0</v>
      </c>
      <c r="H135" s="28">
        <v>14</v>
      </c>
      <c r="I135" s="28">
        <v>0</v>
      </c>
      <c r="J135" s="28">
        <v>8</v>
      </c>
      <c r="K135" s="29">
        <v>8</v>
      </c>
      <c r="L135" s="29">
        <v>10</v>
      </c>
      <c r="M135" s="28">
        <v>8</v>
      </c>
      <c r="N135" s="28">
        <v>14</v>
      </c>
      <c r="O135" s="28">
        <v>10</v>
      </c>
      <c r="P135" s="28">
        <v>10</v>
      </c>
      <c r="Q135" s="28">
        <v>0</v>
      </c>
      <c r="R135" s="28">
        <v>0</v>
      </c>
      <c r="S135" s="28">
        <v>8</v>
      </c>
      <c r="T135" s="29">
        <v>10</v>
      </c>
      <c r="U135" s="30">
        <v>0</v>
      </c>
      <c r="V135" s="28">
        <v>8</v>
      </c>
      <c r="W135" s="28">
        <v>0</v>
      </c>
      <c r="X135" s="28">
        <v>8</v>
      </c>
      <c r="Y135" s="28">
        <v>8</v>
      </c>
      <c r="Z135" s="28">
        <v>8</v>
      </c>
      <c r="AA135" s="28">
        <v>8</v>
      </c>
      <c r="AB135" s="28">
        <v>0</v>
      </c>
      <c r="AC135" s="29">
        <v>0</v>
      </c>
      <c r="AD135" s="30">
        <v>0</v>
      </c>
      <c r="AE135" s="28">
        <v>0</v>
      </c>
      <c r="AF135" s="28">
        <v>10</v>
      </c>
      <c r="AG135" s="28">
        <v>0</v>
      </c>
      <c r="AH135" s="28">
        <v>0</v>
      </c>
      <c r="AI135" s="28">
        <v>7</v>
      </c>
      <c r="AJ135" s="28">
        <v>7</v>
      </c>
      <c r="AK135" s="28">
        <v>7</v>
      </c>
      <c r="AL135" s="29">
        <v>-9</v>
      </c>
      <c r="AM135" s="30">
        <v>0</v>
      </c>
    </row>
    <row r="136" spans="1:41" s="1" customFormat="1" ht="16.5" customHeight="1">
      <c r="A136" s="31" t="s">
        <v>352</v>
      </c>
      <c r="B136" s="32">
        <v>16</v>
      </c>
      <c r="C136" s="32">
        <v>18004582</v>
      </c>
      <c r="D136" s="28" t="s">
        <v>68</v>
      </c>
      <c r="E136" s="28" t="s">
        <v>68</v>
      </c>
      <c r="F136" s="28" t="s">
        <v>68</v>
      </c>
      <c r="G136" s="28" t="s">
        <v>68</v>
      </c>
      <c r="H136" s="28" t="s">
        <v>68</v>
      </c>
      <c r="I136" s="28" t="s">
        <v>68</v>
      </c>
      <c r="J136" s="28" t="s">
        <v>68</v>
      </c>
      <c r="K136" s="29">
        <v>0</v>
      </c>
      <c r="L136" s="29">
        <v>0</v>
      </c>
      <c r="M136" s="28" t="s">
        <v>68</v>
      </c>
      <c r="N136" s="28" t="s">
        <v>68</v>
      </c>
      <c r="O136" s="28" t="s">
        <v>68</v>
      </c>
      <c r="P136" s="28" t="s">
        <v>68</v>
      </c>
      <c r="Q136" s="28">
        <v>7</v>
      </c>
      <c r="R136" s="28">
        <v>7</v>
      </c>
      <c r="S136" s="28">
        <v>8</v>
      </c>
      <c r="T136" s="29">
        <v>-2</v>
      </c>
      <c r="U136" s="30">
        <v>0</v>
      </c>
      <c r="V136" s="28">
        <v>8</v>
      </c>
      <c r="W136" s="28">
        <v>0</v>
      </c>
      <c r="X136" s="28">
        <v>8</v>
      </c>
      <c r="Y136" s="28">
        <v>8</v>
      </c>
      <c r="Z136" s="28">
        <v>8</v>
      </c>
      <c r="AA136" s="28">
        <v>8</v>
      </c>
      <c r="AB136" s="28">
        <v>0</v>
      </c>
      <c r="AC136" s="29">
        <v>0</v>
      </c>
      <c r="AD136" s="30">
        <v>0</v>
      </c>
      <c r="AE136" s="28">
        <v>0</v>
      </c>
      <c r="AF136" s="28">
        <v>7</v>
      </c>
      <c r="AG136" s="28">
        <v>7</v>
      </c>
      <c r="AH136" s="28">
        <v>7</v>
      </c>
      <c r="AI136" s="28">
        <v>7</v>
      </c>
      <c r="AJ136" s="28">
        <v>10</v>
      </c>
      <c r="AK136" s="28">
        <v>10</v>
      </c>
      <c r="AL136" s="29">
        <v>8</v>
      </c>
      <c r="AM136" s="30">
        <v>0</v>
      </c>
    </row>
    <row r="137" spans="1:41" s="1" customFormat="1" ht="16.5" customHeight="1">
      <c r="A137" s="31" t="s">
        <v>359</v>
      </c>
      <c r="B137" s="32">
        <v>16</v>
      </c>
      <c r="C137" s="32">
        <v>18006448</v>
      </c>
      <c r="D137" s="28">
        <v>8</v>
      </c>
      <c r="E137" s="28">
        <v>7</v>
      </c>
      <c r="F137" s="28">
        <v>7</v>
      </c>
      <c r="G137" s="28">
        <v>10</v>
      </c>
      <c r="H137" s="28">
        <v>10</v>
      </c>
      <c r="I137" s="28" t="s">
        <v>85</v>
      </c>
      <c r="J137" s="28">
        <v>8</v>
      </c>
      <c r="K137" s="29">
        <v>11</v>
      </c>
      <c r="L137" s="29">
        <v>7</v>
      </c>
      <c r="M137" s="28">
        <v>8</v>
      </c>
      <c r="N137" s="28">
        <v>14</v>
      </c>
      <c r="O137" s="28">
        <v>10</v>
      </c>
      <c r="P137" s="28">
        <v>10</v>
      </c>
      <c r="Q137" s="28">
        <v>0</v>
      </c>
      <c r="R137" s="28">
        <v>0</v>
      </c>
      <c r="S137" s="28">
        <v>8</v>
      </c>
      <c r="T137" s="29">
        <v>10</v>
      </c>
      <c r="U137" s="30">
        <v>0</v>
      </c>
      <c r="V137" s="28">
        <v>8</v>
      </c>
      <c r="W137" s="28">
        <v>0</v>
      </c>
      <c r="X137" s="28">
        <v>8</v>
      </c>
      <c r="Y137" s="28">
        <v>8</v>
      </c>
      <c r="Z137" s="28">
        <v>8</v>
      </c>
      <c r="AA137" s="28">
        <v>8</v>
      </c>
      <c r="AB137" s="28">
        <v>0</v>
      </c>
      <c r="AC137" s="29">
        <v>0</v>
      </c>
      <c r="AD137" s="30">
        <v>0</v>
      </c>
      <c r="AE137" s="28">
        <v>0</v>
      </c>
      <c r="AF137" s="28">
        <v>7</v>
      </c>
      <c r="AG137" s="28">
        <v>7</v>
      </c>
      <c r="AH137" s="28">
        <v>7</v>
      </c>
      <c r="AI137" s="28">
        <v>10</v>
      </c>
      <c r="AJ137" s="28">
        <v>10</v>
      </c>
      <c r="AK137" s="28">
        <v>0</v>
      </c>
      <c r="AL137" s="29">
        <v>1</v>
      </c>
      <c r="AM137" s="30">
        <v>0</v>
      </c>
    </row>
    <row r="138" spans="1:41" s="1" customFormat="1" ht="16.5" customHeight="1">
      <c r="A138" s="31" t="s">
        <v>360</v>
      </c>
      <c r="B138" s="32">
        <v>16</v>
      </c>
      <c r="C138" s="32">
        <v>18005360</v>
      </c>
      <c r="D138" s="28">
        <v>8</v>
      </c>
      <c r="E138" s="28">
        <v>10</v>
      </c>
      <c r="F138" s="28">
        <v>10</v>
      </c>
      <c r="G138" s="28">
        <v>0</v>
      </c>
      <c r="H138" s="28">
        <v>0</v>
      </c>
      <c r="I138" s="28">
        <v>7</v>
      </c>
      <c r="J138" s="28">
        <v>8</v>
      </c>
      <c r="K138" s="29">
        <v>1</v>
      </c>
      <c r="L138" s="29">
        <v>10</v>
      </c>
      <c r="M138" s="28">
        <v>8</v>
      </c>
      <c r="N138" s="28">
        <v>10</v>
      </c>
      <c r="O138" s="28">
        <v>0</v>
      </c>
      <c r="P138" s="28">
        <v>0</v>
      </c>
      <c r="Q138" s="28">
        <v>7</v>
      </c>
      <c r="R138" s="28">
        <v>7</v>
      </c>
      <c r="S138" s="28">
        <v>8</v>
      </c>
      <c r="T138" s="29">
        <v>0</v>
      </c>
      <c r="U138" s="30">
        <v>0</v>
      </c>
      <c r="V138" s="28">
        <v>8</v>
      </c>
      <c r="W138" s="28">
        <v>0</v>
      </c>
      <c r="X138" s="28">
        <v>8</v>
      </c>
      <c r="Y138" s="28">
        <v>8</v>
      </c>
      <c r="Z138" s="28">
        <v>8</v>
      </c>
      <c r="AA138" s="28">
        <v>8</v>
      </c>
      <c r="AB138" s="28">
        <v>0</v>
      </c>
      <c r="AC138" s="29">
        <v>0</v>
      </c>
      <c r="AD138" s="30">
        <v>0</v>
      </c>
      <c r="AE138" s="28">
        <v>0</v>
      </c>
      <c r="AF138" s="28">
        <v>7</v>
      </c>
      <c r="AG138" s="28">
        <v>10</v>
      </c>
      <c r="AH138" s="28">
        <v>10</v>
      </c>
      <c r="AI138" s="28">
        <v>0</v>
      </c>
      <c r="AJ138" s="28">
        <v>0</v>
      </c>
      <c r="AK138" s="28">
        <v>7</v>
      </c>
      <c r="AL138" s="29">
        <v>-6</v>
      </c>
      <c r="AM138" s="30">
        <v>0</v>
      </c>
    </row>
    <row r="139" spans="1:41" s="1" customFormat="1" ht="16.5" customHeight="1">
      <c r="A139" s="31" t="s">
        <v>353</v>
      </c>
      <c r="B139" s="32">
        <v>16</v>
      </c>
      <c r="C139" s="32">
        <v>18005363</v>
      </c>
      <c r="D139" s="28">
        <v>8</v>
      </c>
      <c r="E139" s="28">
        <v>10</v>
      </c>
      <c r="F139" s="28">
        <v>10</v>
      </c>
      <c r="G139" s="28">
        <v>0</v>
      </c>
      <c r="H139" s="28">
        <v>0</v>
      </c>
      <c r="I139" s="28">
        <v>7</v>
      </c>
      <c r="J139" s="28">
        <v>8</v>
      </c>
      <c r="K139" s="29">
        <v>1</v>
      </c>
      <c r="L139" s="29">
        <v>10</v>
      </c>
      <c r="M139" s="28">
        <v>8</v>
      </c>
      <c r="N139" s="28">
        <v>10</v>
      </c>
      <c r="O139" s="28">
        <v>0</v>
      </c>
      <c r="P139" s="28">
        <v>0</v>
      </c>
      <c r="Q139" s="28">
        <v>7</v>
      </c>
      <c r="R139" s="28">
        <v>7</v>
      </c>
      <c r="S139" s="28">
        <v>8</v>
      </c>
      <c r="T139" s="29">
        <v>0</v>
      </c>
      <c r="U139" s="30">
        <v>0</v>
      </c>
      <c r="V139" s="28">
        <v>8</v>
      </c>
      <c r="W139" s="28">
        <v>0</v>
      </c>
      <c r="X139" s="28">
        <v>8</v>
      </c>
      <c r="Y139" s="28">
        <v>8</v>
      </c>
      <c r="Z139" s="28">
        <v>8</v>
      </c>
      <c r="AA139" s="28">
        <v>8</v>
      </c>
      <c r="AB139" s="28">
        <v>0</v>
      </c>
      <c r="AC139" s="29">
        <v>0</v>
      </c>
      <c r="AD139" s="30">
        <v>0</v>
      </c>
      <c r="AE139" s="28">
        <v>0</v>
      </c>
      <c r="AF139" s="28">
        <v>7</v>
      </c>
      <c r="AG139" s="28">
        <v>10</v>
      </c>
      <c r="AH139" s="28">
        <v>10</v>
      </c>
      <c r="AI139" s="28">
        <v>0</v>
      </c>
      <c r="AJ139" s="28">
        <v>0</v>
      </c>
      <c r="AK139" s="28">
        <v>7</v>
      </c>
      <c r="AL139" s="29">
        <v>-6</v>
      </c>
      <c r="AM139" s="30">
        <v>0</v>
      </c>
    </row>
    <row r="140" spans="1:41" s="1" customFormat="1" ht="16.5" customHeight="1">
      <c r="A140" s="31" t="s">
        <v>354</v>
      </c>
      <c r="B140" s="32">
        <v>16</v>
      </c>
      <c r="C140" s="32">
        <v>18004243</v>
      </c>
      <c r="D140" s="28">
        <v>8</v>
      </c>
      <c r="E140" s="28">
        <v>7</v>
      </c>
      <c r="F140" s="28">
        <v>7</v>
      </c>
      <c r="G140" s="28">
        <v>10</v>
      </c>
      <c r="H140" s="28">
        <v>10</v>
      </c>
      <c r="I140" s="28">
        <v>0</v>
      </c>
      <c r="J140" s="28">
        <v>8</v>
      </c>
      <c r="K140" s="29">
        <v>11</v>
      </c>
      <c r="L140" s="29">
        <v>7</v>
      </c>
      <c r="M140" s="28">
        <v>8</v>
      </c>
      <c r="N140" s="28">
        <v>14</v>
      </c>
      <c r="O140" s="28">
        <v>10</v>
      </c>
      <c r="P140" s="28">
        <v>10</v>
      </c>
      <c r="Q140" s="28">
        <v>0</v>
      </c>
      <c r="R140" s="28">
        <v>0</v>
      </c>
      <c r="S140" s="28">
        <v>8</v>
      </c>
      <c r="T140" s="29">
        <v>10</v>
      </c>
      <c r="U140" s="30">
        <v>0</v>
      </c>
      <c r="V140" s="28">
        <v>8</v>
      </c>
      <c r="W140" s="28">
        <v>0</v>
      </c>
      <c r="X140" s="28">
        <v>8</v>
      </c>
      <c r="Y140" s="28">
        <v>8</v>
      </c>
      <c r="Z140" s="28">
        <v>8</v>
      </c>
      <c r="AA140" s="28">
        <v>8</v>
      </c>
      <c r="AB140" s="28">
        <v>0</v>
      </c>
      <c r="AC140" s="29">
        <v>0</v>
      </c>
      <c r="AD140" s="30">
        <v>0</v>
      </c>
      <c r="AE140" s="28">
        <v>0</v>
      </c>
      <c r="AF140" s="28">
        <v>10</v>
      </c>
      <c r="AG140" s="28">
        <v>0</v>
      </c>
      <c r="AH140" s="28">
        <v>12</v>
      </c>
      <c r="AI140" s="28">
        <v>12</v>
      </c>
      <c r="AJ140" s="28">
        <v>0</v>
      </c>
      <c r="AK140" s="28">
        <v>12</v>
      </c>
      <c r="AL140" s="29">
        <v>6</v>
      </c>
      <c r="AM140" s="30">
        <v>0</v>
      </c>
    </row>
    <row r="141" spans="1:41" s="1" customFormat="1" ht="16.5" customHeight="1">
      <c r="A141" s="31" t="s">
        <v>187</v>
      </c>
      <c r="B141" s="32">
        <v>16</v>
      </c>
      <c r="C141" s="32">
        <v>18004548</v>
      </c>
      <c r="D141" s="28">
        <v>8</v>
      </c>
      <c r="E141" s="28">
        <v>0</v>
      </c>
      <c r="F141" s="28">
        <v>14</v>
      </c>
      <c r="G141" s="28">
        <v>10</v>
      </c>
      <c r="H141" s="28">
        <v>10</v>
      </c>
      <c r="I141" s="28">
        <v>0</v>
      </c>
      <c r="J141" s="28">
        <v>8</v>
      </c>
      <c r="K141" s="29">
        <v>4</v>
      </c>
      <c r="L141" s="29">
        <v>14</v>
      </c>
      <c r="M141" s="28">
        <v>8</v>
      </c>
      <c r="N141" s="28">
        <v>10</v>
      </c>
      <c r="O141" s="28">
        <v>0</v>
      </c>
      <c r="P141" s="28">
        <v>14</v>
      </c>
      <c r="Q141" s="28">
        <v>10</v>
      </c>
      <c r="R141" s="28">
        <v>0</v>
      </c>
      <c r="S141" s="28">
        <v>8</v>
      </c>
      <c r="T141" s="29">
        <v>10</v>
      </c>
      <c r="U141" s="30">
        <v>0</v>
      </c>
      <c r="V141" s="28">
        <v>8</v>
      </c>
      <c r="W141" s="28">
        <v>0</v>
      </c>
      <c r="X141" s="28">
        <v>8</v>
      </c>
      <c r="Y141" s="28">
        <v>8</v>
      </c>
      <c r="Z141" s="28">
        <v>8</v>
      </c>
      <c r="AA141" s="28">
        <v>8</v>
      </c>
      <c r="AB141" s="28">
        <v>0</v>
      </c>
      <c r="AC141" s="29">
        <v>0</v>
      </c>
      <c r="AD141" s="30">
        <v>0</v>
      </c>
      <c r="AE141" s="28">
        <v>0</v>
      </c>
      <c r="AF141" s="28">
        <v>7</v>
      </c>
      <c r="AG141" s="28">
        <v>7</v>
      </c>
      <c r="AH141" s="28">
        <v>7</v>
      </c>
      <c r="AI141" s="28">
        <v>10</v>
      </c>
      <c r="AJ141" s="28">
        <v>10</v>
      </c>
      <c r="AK141" s="28">
        <v>0</v>
      </c>
      <c r="AL141" s="29">
        <v>1</v>
      </c>
      <c r="AM141" s="30">
        <v>0</v>
      </c>
    </row>
    <row r="142" spans="1:41" s="1" customFormat="1" ht="16.5" customHeight="1">
      <c r="A142" s="31" t="s">
        <v>355</v>
      </c>
      <c r="B142" s="32">
        <v>16</v>
      </c>
      <c r="C142" s="32">
        <v>18004437</v>
      </c>
      <c r="D142" s="28">
        <v>8</v>
      </c>
      <c r="E142" s="28">
        <v>10</v>
      </c>
      <c r="F142" s="28">
        <v>10</v>
      </c>
      <c r="G142" s="28">
        <v>0</v>
      </c>
      <c r="H142" s="28">
        <v>0</v>
      </c>
      <c r="I142" s="28">
        <v>7</v>
      </c>
      <c r="J142" s="28">
        <v>8</v>
      </c>
      <c r="K142" s="29">
        <v>1</v>
      </c>
      <c r="L142" s="29">
        <v>10</v>
      </c>
      <c r="M142" s="28">
        <v>8</v>
      </c>
      <c r="N142" s="28">
        <v>10</v>
      </c>
      <c r="O142" s="28">
        <v>0</v>
      </c>
      <c r="P142" s="28">
        <v>0</v>
      </c>
      <c r="Q142" s="28">
        <v>7</v>
      </c>
      <c r="R142" s="28">
        <v>7</v>
      </c>
      <c r="S142" s="28">
        <v>8</v>
      </c>
      <c r="T142" s="29">
        <v>0</v>
      </c>
      <c r="U142" s="30">
        <v>0</v>
      </c>
      <c r="V142" s="28">
        <v>8</v>
      </c>
      <c r="W142" s="28">
        <v>0</v>
      </c>
      <c r="X142" s="28">
        <v>8</v>
      </c>
      <c r="Y142" s="28">
        <v>8</v>
      </c>
      <c r="Z142" s="28">
        <v>8</v>
      </c>
      <c r="AA142" s="28">
        <v>8</v>
      </c>
      <c r="AB142" s="28">
        <v>0</v>
      </c>
      <c r="AC142" s="29">
        <v>0</v>
      </c>
      <c r="AD142" s="30">
        <v>0</v>
      </c>
      <c r="AE142" s="28">
        <v>0</v>
      </c>
      <c r="AF142" s="28">
        <v>10</v>
      </c>
      <c r="AG142" s="28">
        <v>0</v>
      </c>
      <c r="AH142" s="28">
        <v>0</v>
      </c>
      <c r="AI142" s="28">
        <v>7</v>
      </c>
      <c r="AJ142" s="28">
        <v>7</v>
      </c>
      <c r="AK142" s="28">
        <v>7</v>
      </c>
      <c r="AL142" s="29">
        <v>-9</v>
      </c>
      <c r="AM142" s="30">
        <v>0</v>
      </c>
    </row>
    <row r="143" spans="1:41" s="1" customFormat="1" ht="16.5" customHeight="1">
      <c r="A143" s="31" t="s">
        <v>356</v>
      </c>
      <c r="B143" s="32">
        <v>16</v>
      </c>
      <c r="C143" s="32">
        <v>18004484</v>
      </c>
      <c r="D143" s="28">
        <v>8</v>
      </c>
      <c r="E143" s="28">
        <v>0</v>
      </c>
      <c r="F143" s="28">
        <v>0</v>
      </c>
      <c r="G143" s="28">
        <v>7</v>
      </c>
      <c r="H143" s="28">
        <v>7</v>
      </c>
      <c r="I143" s="28">
        <v>0</v>
      </c>
      <c r="J143" s="28">
        <v>8</v>
      </c>
      <c r="K143" s="29">
        <v>-2</v>
      </c>
      <c r="L143" s="29">
        <v>0</v>
      </c>
      <c r="M143" s="28">
        <v>8</v>
      </c>
      <c r="N143" s="28">
        <v>0</v>
      </c>
      <c r="O143" s="28">
        <v>7</v>
      </c>
      <c r="P143" s="28">
        <v>7</v>
      </c>
      <c r="Q143" s="28">
        <v>10</v>
      </c>
      <c r="R143" s="28">
        <v>0</v>
      </c>
      <c r="S143" s="28">
        <v>8</v>
      </c>
      <c r="T143" s="29">
        <v>0</v>
      </c>
      <c r="U143" s="30">
        <v>0</v>
      </c>
      <c r="V143" s="28">
        <v>8</v>
      </c>
      <c r="W143" s="28">
        <v>0</v>
      </c>
      <c r="X143" s="28">
        <v>8</v>
      </c>
      <c r="Y143" s="28">
        <v>8</v>
      </c>
      <c r="Z143" s="28">
        <v>8</v>
      </c>
      <c r="AA143" s="28">
        <v>8</v>
      </c>
      <c r="AB143" s="28">
        <v>0</v>
      </c>
      <c r="AC143" s="29">
        <v>0</v>
      </c>
      <c r="AD143" s="30">
        <v>0</v>
      </c>
      <c r="AE143" s="28">
        <v>0</v>
      </c>
      <c r="AF143" s="28">
        <v>7</v>
      </c>
      <c r="AG143" s="28">
        <v>7</v>
      </c>
      <c r="AH143" s="28">
        <v>7</v>
      </c>
      <c r="AI143" s="28">
        <v>10</v>
      </c>
      <c r="AJ143" s="28">
        <v>10</v>
      </c>
      <c r="AK143" s="28">
        <v>0</v>
      </c>
      <c r="AL143" s="29">
        <v>1</v>
      </c>
      <c r="AM143" s="30">
        <v>0</v>
      </c>
    </row>
    <row r="144" spans="1:41" s="1" customFormat="1" ht="16.5" customHeight="1">
      <c r="A144" s="31" t="s">
        <v>361</v>
      </c>
      <c r="B144" s="32">
        <v>16</v>
      </c>
      <c r="C144" s="32">
        <v>18004162</v>
      </c>
      <c r="D144" s="28">
        <v>8</v>
      </c>
      <c r="E144" s="28">
        <v>7</v>
      </c>
      <c r="F144" s="28">
        <v>7</v>
      </c>
      <c r="G144" s="28">
        <v>10</v>
      </c>
      <c r="H144" s="28">
        <v>10</v>
      </c>
      <c r="I144" s="28">
        <v>0</v>
      </c>
      <c r="J144" s="28">
        <v>8</v>
      </c>
      <c r="K144" s="29">
        <v>11</v>
      </c>
      <c r="L144" s="29">
        <v>7</v>
      </c>
      <c r="M144" s="28">
        <v>8</v>
      </c>
      <c r="N144" s="28">
        <v>14</v>
      </c>
      <c r="O144" s="28">
        <v>10</v>
      </c>
      <c r="P144" s="28">
        <v>10</v>
      </c>
      <c r="Q144" s="28">
        <v>0</v>
      </c>
      <c r="R144" s="28">
        <v>0</v>
      </c>
      <c r="S144" s="28">
        <v>8</v>
      </c>
      <c r="T144" s="29">
        <v>10</v>
      </c>
      <c r="U144" s="30">
        <v>0</v>
      </c>
      <c r="V144" s="28">
        <v>8</v>
      </c>
      <c r="W144" s="28">
        <v>0</v>
      </c>
      <c r="X144" s="28">
        <v>8</v>
      </c>
      <c r="Y144" s="28">
        <v>8</v>
      </c>
      <c r="Z144" s="28">
        <v>8</v>
      </c>
      <c r="AA144" s="28">
        <v>8</v>
      </c>
      <c r="AB144" s="28">
        <v>0</v>
      </c>
      <c r="AC144" s="29">
        <v>0</v>
      </c>
      <c r="AD144" s="30">
        <v>0</v>
      </c>
      <c r="AE144" s="28">
        <v>0</v>
      </c>
      <c r="AF144" s="28">
        <v>0</v>
      </c>
      <c r="AG144" s="28">
        <v>7</v>
      </c>
      <c r="AH144" s="28">
        <v>7</v>
      </c>
      <c r="AI144" s="28">
        <v>7</v>
      </c>
      <c r="AJ144" s="28">
        <v>7</v>
      </c>
      <c r="AK144" s="28">
        <v>10</v>
      </c>
      <c r="AL144" s="29">
        <v>-2</v>
      </c>
      <c r="AM144" s="30">
        <v>0</v>
      </c>
    </row>
    <row r="145" spans="1:39" s="1" customFormat="1" ht="16.5" customHeight="1">
      <c r="A145" s="31" t="s">
        <v>362</v>
      </c>
      <c r="B145" s="32">
        <v>16</v>
      </c>
      <c r="C145" s="32">
        <v>18005152</v>
      </c>
      <c r="D145" s="28">
        <v>8</v>
      </c>
      <c r="E145" s="28">
        <v>0</v>
      </c>
      <c r="F145" s="28">
        <v>0</v>
      </c>
      <c r="G145" s="28">
        <v>7</v>
      </c>
      <c r="H145" s="28">
        <v>7</v>
      </c>
      <c r="I145" s="28">
        <v>0</v>
      </c>
      <c r="J145" s="28">
        <v>8</v>
      </c>
      <c r="K145" s="29">
        <v>-2</v>
      </c>
      <c r="L145" s="29">
        <v>0</v>
      </c>
      <c r="M145" s="28">
        <v>0</v>
      </c>
      <c r="N145" s="28">
        <v>0</v>
      </c>
      <c r="O145" s="28">
        <v>7</v>
      </c>
      <c r="P145" s="28">
        <v>7</v>
      </c>
      <c r="Q145" s="28">
        <v>10</v>
      </c>
      <c r="R145" s="28">
        <v>0</v>
      </c>
      <c r="S145" s="28">
        <v>8</v>
      </c>
      <c r="T145" s="29">
        <v>-8</v>
      </c>
      <c r="U145" s="30">
        <v>0</v>
      </c>
      <c r="V145" s="28">
        <v>8</v>
      </c>
      <c r="W145" s="28">
        <v>0</v>
      </c>
      <c r="X145" s="28">
        <v>8</v>
      </c>
      <c r="Y145" s="28">
        <v>8</v>
      </c>
      <c r="Z145" s="28">
        <v>8</v>
      </c>
      <c r="AA145" s="28">
        <v>8</v>
      </c>
      <c r="AB145" s="28">
        <v>0</v>
      </c>
      <c r="AC145" s="29">
        <v>0</v>
      </c>
      <c r="AD145" s="30">
        <v>0</v>
      </c>
      <c r="AE145" s="28">
        <v>0</v>
      </c>
      <c r="AF145" s="28">
        <v>0</v>
      </c>
      <c r="AG145" s="28">
        <v>7</v>
      </c>
      <c r="AH145" s="28">
        <v>7</v>
      </c>
      <c r="AI145" s="28">
        <v>7</v>
      </c>
      <c r="AJ145" s="28">
        <v>7</v>
      </c>
      <c r="AK145" s="28">
        <v>10</v>
      </c>
      <c r="AL145" s="29">
        <v>-2</v>
      </c>
      <c r="AM145" s="30">
        <v>0</v>
      </c>
    </row>
    <row r="146" spans="1:39" s="1" customFormat="1" ht="16.5" customHeight="1">
      <c r="A146" s="31" t="s">
        <v>285</v>
      </c>
      <c r="B146" s="32" t="s">
        <v>22</v>
      </c>
      <c r="C146" s="32">
        <v>18004185</v>
      </c>
      <c r="D146" s="28">
        <v>7</v>
      </c>
      <c r="E146" s="28">
        <v>7</v>
      </c>
      <c r="F146" s="28">
        <v>0</v>
      </c>
      <c r="G146" s="28">
        <v>0</v>
      </c>
      <c r="H146" s="28">
        <v>7</v>
      </c>
      <c r="I146" s="28">
        <v>7</v>
      </c>
      <c r="J146" s="28">
        <v>7</v>
      </c>
      <c r="K146" s="29">
        <v>3</v>
      </c>
      <c r="L146" s="29">
        <v>0</v>
      </c>
      <c r="M146" s="28">
        <v>7</v>
      </c>
      <c r="N146" s="28">
        <v>7</v>
      </c>
      <c r="O146" s="28">
        <v>7</v>
      </c>
      <c r="P146" s="28">
        <v>8</v>
      </c>
      <c r="Q146" s="28">
        <v>0</v>
      </c>
      <c r="R146" s="28">
        <v>8</v>
      </c>
      <c r="S146" s="28">
        <v>8</v>
      </c>
      <c r="T146" s="29">
        <v>5</v>
      </c>
      <c r="U146" s="30">
        <v>0</v>
      </c>
      <c r="V146" s="28">
        <v>0</v>
      </c>
      <c r="W146" s="28">
        <v>0</v>
      </c>
      <c r="X146" s="28">
        <v>8</v>
      </c>
      <c r="Y146" s="28">
        <v>8</v>
      </c>
      <c r="Z146" s="28">
        <v>0</v>
      </c>
      <c r="AA146" s="28">
        <v>0</v>
      </c>
      <c r="AB146" s="28">
        <v>8</v>
      </c>
      <c r="AC146" s="29">
        <v>-16</v>
      </c>
      <c r="AD146" s="30">
        <v>0</v>
      </c>
      <c r="AE146" s="28">
        <v>8</v>
      </c>
      <c r="AF146" s="28">
        <v>0</v>
      </c>
      <c r="AG146" s="28">
        <v>0</v>
      </c>
      <c r="AH146" s="28">
        <v>8</v>
      </c>
      <c r="AI146" s="28">
        <v>8</v>
      </c>
      <c r="AJ146" s="28">
        <v>0</v>
      </c>
      <c r="AK146" s="28">
        <v>0</v>
      </c>
      <c r="AL146" s="29">
        <v>-16</v>
      </c>
      <c r="AM146" s="30">
        <v>0</v>
      </c>
    </row>
    <row r="147" spans="1:39" s="1" customFormat="1" ht="16.5" customHeight="1">
      <c r="A147" s="31" t="s">
        <v>249</v>
      </c>
      <c r="B147" s="32" t="s">
        <v>22</v>
      </c>
      <c r="C147" s="32">
        <v>18007363</v>
      </c>
      <c r="D147" s="28">
        <v>11</v>
      </c>
      <c r="E147" s="28">
        <v>0</v>
      </c>
      <c r="F147" s="28">
        <v>8</v>
      </c>
      <c r="G147" s="28">
        <v>8</v>
      </c>
      <c r="H147" s="28">
        <v>8</v>
      </c>
      <c r="I147" s="28">
        <v>8</v>
      </c>
      <c r="J147" s="28">
        <v>8</v>
      </c>
      <c r="K147" s="29">
        <v>11</v>
      </c>
      <c r="L147" s="29">
        <v>8</v>
      </c>
      <c r="M147" s="28">
        <v>0</v>
      </c>
      <c r="N147" s="28">
        <v>0</v>
      </c>
      <c r="O147" s="28">
        <v>8</v>
      </c>
      <c r="P147" s="28">
        <v>8</v>
      </c>
      <c r="Q147" s="28">
        <v>8</v>
      </c>
      <c r="R147" s="28">
        <v>8</v>
      </c>
      <c r="S147" s="28">
        <v>8</v>
      </c>
      <c r="T147" s="29">
        <v>0</v>
      </c>
      <c r="U147" s="30">
        <v>0</v>
      </c>
      <c r="V147" s="28">
        <v>0</v>
      </c>
      <c r="W147" s="28">
        <v>0</v>
      </c>
      <c r="X147" s="28">
        <v>8</v>
      </c>
      <c r="Y147" s="28">
        <v>8</v>
      </c>
      <c r="Z147" s="28">
        <v>8</v>
      </c>
      <c r="AA147" s="28">
        <v>8</v>
      </c>
      <c r="AB147" s="28">
        <v>8</v>
      </c>
      <c r="AC147" s="29">
        <v>0</v>
      </c>
      <c r="AD147" s="30">
        <v>0</v>
      </c>
      <c r="AE147" s="28">
        <v>0</v>
      </c>
      <c r="AF147" s="28">
        <v>0</v>
      </c>
      <c r="AG147" s="28">
        <v>8</v>
      </c>
      <c r="AH147" s="28">
        <v>8</v>
      </c>
      <c r="AI147" s="28">
        <v>8</v>
      </c>
      <c r="AJ147" s="28">
        <v>8</v>
      </c>
      <c r="AK147" s="28">
        <v>8</v>
      </c>
      <c r="AL147" s="29">
        <v>0</v>
      </c>
      <c r="AM147" s="30">
        <v>0</v>
      </c>
    </row>
    <row r="148" spans="1:39" s="1" customFormat="1" ht="16.5" customHeight="1">
      <c r="A148" s="31" t="s">
        <v>21</v>
      </c>
      <c r="B148" s="32" t="s">
        <v>22</v>
      </c>
      <c r="C148" s="32">
        <v>18004500</v>
      </c>
      <c r="D148" s="28">
        <v>10</v>
      </c>
      <c r="E148" s="28">
        <v>0</v>
      </c>
      <c r="F148" s="28">
        <v>0</v>
      </c>
      <c r="G148" s="28">
        <v>0</v>
      </c>
      <c r="H148" s="28">
        <v>10</v>
      </c>
      <c r="I148" s="28">
        <v>10</v>
      </c>
      <c r="J148" s="28">
        <v>10</v>
      </c>
      <c r="K148" s="29">
        <v>8</v>
      </c>
      <c r="L148" s="29">
        <v>0</v>
      </c>
      <c r="M148" s="28">
        <v>0</v>
      </c>
      <c r="N148" s="28">
        <v>0</v>
      </c>
      <c r="O148" s="28">
        <v>0</v>
      </c>
      <c r="P148" s="28">
        <v>10</v>
      </c>
      <c r="Q148" s="28">
        <v>10</v>
      </c>
      <c r="R148" s="28">
        <v>0</v>
      </c>
      <c r="S148" s="28">
        <v>0</v>
      </c>
      <c r="T148" s="29">
        <v>-20</v>
      </c>
      <c r="U148" s="30">
        <v>0</v>
      </c>
      <c r="V148" s="28">
        <v>8</v>
      </c>
      <c r="W148" s="28">
        <v>8</v>
      </c>
      <c r="X148" s="28">
        <v>0</v>
      </c>
      <c r="Y148" s="28">
        <v>0</v>
      </c>
      <c r="Z148" s="28">
        <v>8</v>
      </c>
      <c r="AA148" s="28">
        <v>8</v>
      </c>
      <c r="AB148" s="28">
        <v>0</v>
      </c>
      <c r="AC148" s="29">
        <v>-8</v>
      </c>
      <c r="AD148" s="30">
        <v>0</v>
      </c>
      <c r="AE148" s="28">
        <v>0</v>
      </c>
      <c r="AF148" s="28">
        <v>8</v>
      </c>
      <c r="AG148" s="28">
        <v>8</v>
      </c>
      <c r="AH148" s="28">
        <v>0</v>
      </c>
      <c r="AI148" s="28">
        <v>0</v>
      </c>
      <c r="AJ148" s="28">
        <v>8</v>
      </c>
      <c r="AK148" s="28">
        <v>8</v>
      </c>
      <c r="AL148" s="29">
        <v>-8</v>
      </c>
      <c r="AM148" s="30">
        <v>0</v>
      </c>
    </row>
    <row r="149" spans="1:39" s="1" customFormat="1" ht="16.5" customHeight="1">
      <c r="A149" s="31" t="s">
        <v>23</v>
      </c>
      <c r="B149" s="32" t="s">
        <v>22</v>
      </c>
      <c r="C149" s="32">
        <v>18004589</v>
      </c>
      <c r="D149" s="28">
        <v>7</v>
      </c>
      <c r="E149" s="28">
        <v>7</v>
      </c>
      <c r="F149" s="28">
        <v>7</v>
      </c>
      <c r="G149" s="28">
        <v>7</v>
      </c>
      <c r="H149" s="28">
        <v>7</v>
      </c>
      <c r="I149" s="28">
        <v>0</v>
      </c>
      <c r="J149" s="28">
        <v>0</v>
      </c>
      <c r="K149" s="29">
        <v>-4</v>
      </c>
      <c r="L149" s="29">
        <v>7</v>
      </c>
      <c r="M149" s="28">
        <v>7</v>
      </c>
      <c r="N149" s="28">
        <v>7</v>
      </c>
      <c r="O149" s="28">
        <v>7</v>
      </c>
      <c r="P149" s="28">
        <v>7</v>
      </c>
      <c r="Q149" s="28">
        <v>7</v>
      </c>
      <c r="R149" s="28">
        <v>7</v>
      </c>
      <c r="S149" s="28">
        <v>0</v>
      </c>
      <c r="T149" s="29">
        <v>2</v>
      </c>
      <c r="U149" s="30">
        <v>0</v>
      </c>
      <c r="V149" s="28">
        <v>0</v>
      </c>
      <c r="W149" s="28">
        <v>7</v>
      </c>
      <c r="X149" s="28">
        <v>7</v>
      </c>
      <c r="Y149" s="28">
        <v>7</v>
      </c>
      <c r="Z149" s="28">
        <v>7</v>
      </c>
      <c r="AA149" s="28">
        <v>7</v>
      </c>
      <c r="AB149" s="28">
        <v>0</v>
      </c>
      <c r="AC149" s="29">
        <v>-5</v>
      </c>
      <c r="AD149" s="30">
        <v>0</v>
      </c>
      <c r="AE149" s="28">
        <v>0</v>
      </c>
      <c r="AF149" s="28">
        <v>7</v>
      </c>
      <c r="AG149" s="28">
        <v>7</v>
      </c>
      <c r="AH149" s="28">
        <v>7</v>
      </c>
      <c r="AI149" s="28">
        <v>7</v>
      </c>
      <c r="AJ149" s="28">
        <v>7</v>
      </c>
      <c r="AK149" s="28">
        <v>0</v>
      </c>
      <c r="AL149" s="29">
        <v>-5</v>
      </c>
      <c r="AM149" s="30">
        <v>0</v>
      </c>
    </row>
    <row r="150" spans="1:39" s="1" customFormat="1" ht="16.5" customHeight="1">
      <c r="A150" s="31" t="s">
        <v>24</v>
      </c>
      <c r="B150" s="32" t="s">
        <v>22</v>
      </c>
      <c r="C150" s="32">
        <v>18004624</v>
      </c>
      <c r="D150" s="28">
        <v>7</v>
      </c>
      <c r="E150" s="28">
        <v>7</v>
      </c>
      <c r="F150" s="28">
        <v>7</v>
      </c>
      <c r="G150" s="28">
        <v>7</v>
      </c>
      <c r="H150" s="28">
        <v>0</v>
      </c>
      <c r="I150" s="28">
        <v>0</v>
      </c>
      <c r="J150" s="28">
        <v>7</v>
      </c>
      <c r="K150" s="29">
        <v>-4</v>
      </c>
      <c r="L150" s="29">
        <v>7</v>
      </c>
      <c r="M150" s="28">
        <v>7</v>
      </c>
      <c r="N150" s="28">
        <v>7</v>
      </c>
      <c r="O150" s="28">
        <v>7</v>
      </c>
      <c r="P150" s="28">
        <v>7</v>
      </c>
      <c r="Q150" s="28">
        <v>7</v>
      </c>
      <c r="R150" s="28">
        <v>10</v>
      </c>
      <c r="S150" s="28">
        <v>10</v>
      </c>
      <c r="T150" s="29">
        <v>15</v>
      </c>
      <c r="U150" s="30">
        <v>0</v>
      </c>
      <c r="V150" s="28">
        <v>0</v>
      </c>
      <c r="W150" s="28">
        <v>0</v>
      </c>
      <c r="X150" s="28">
        <v>7</v>
      </c>
      <c r="Y150" s="28">
        <v>7</v>
      </c>
      <c r="Z150" s="28">
        <v>7</v>
      </c>
      <c r="AA150" s="28">
        <v>7</v>
      </c>
      <c r="AB150" s="28">
        <v>10</v>
      </c>
      <c r="AC150" s="29">
        <v>-2</v>
      </c>
      <c r="AD150" s="30">
        <v>0</v>
      </c>
      <c r="AE150" s="28">
        <v>10</v>
      </c>
      <c r="AF150" s="28">
        <v>0</v>
      </c>
      <c r="AG150" s="28">
        <v>0</v>
      </c>
      <c r="AH150" s="28">
        <v>7</v>
      </c>
      <c r="AI150" s="28">
        <v>7</v>
      </c>
      <c r="AJ150" s="28">
        <v>10</v>
      </c>
      <c r="AK150" s="28">
        <v>10</v>
      </c>
      <c r="AL150" s="29">
        <v>4</v>
      </c>
      <c r="AM150" s="30">
        <v>0</v>
      </c>
    </row>
    <row r="151" spans="1:39" s="1" customFormat="1" ht="16.5" customHeight="1">
      <c r="A151" s="31" t="s">
        <v>186</v>
      </c>
      <c r="B151" s="32" t="s">
        <v>22</v>
      </c>
      <c r="C151" s="32">
        <v>18004634</v>
      </c>
      <c r="D151" s="28">
        <v>7</v>
      </c>
      <c r="E151" s="28">
        <v>7</v>
      </c>
      <c r="F151" s="28">
        <v>7</v>
      </c>
      <c r="G151" s="28">
        <v>7</v>
      </c>
      <c r="H151" s="28">
        <v>7</v>
      </c>
      <c r="I151" s="28">
        <v>7</v>
      </c>
      <c r="J151" s="28">
        <v>0</v>
      </c>
      <c r="K151" s="29">
        <v>3</v>
      </c>
      <c r="L151" s="29">
        <v>7</v>
      </c>
      <c r="M151" s="28">
        <v>0</v>
      </c>
      <c r="N151" s="28">
        <v>7</v>
      </c>
      <c r="O151" s="28">
        <v>7</v>
      </c>
      <c r="P151" s="28">
        <v>0</v>
      </c>
      <c r="Q151" s="28">
        <v>0</v>
      </c>
      <c r="R151" s="28">
        <v>7</v>
      </c>
      <c r="S151" s="28">
        <v>7</v>
      </c>
      <c r="T151" s="29">
        <v>-12</v>
      </c>
      <c r="U151" s="30">
        <v>0</v>
      </c>
      <c r="V151" s="28">
        <v>7</v>
      </c>
      <c r="W151" s="28">
        <v>7</v>
      </c>
      <c r="X151" s="28">
        <v>10</v>
      </c>
      <c r="Y151" s="28">
        <v>10</v>
      </c>
      <c r="Z151" s="28">
        <v>0</v>
      </c>
      <c r="AA151" s="28">
        <v>0</v>
      </c>
      <c r="AB151" s="28">
        <v>7</v>
      </c>
      <c r="AC151" s="29">
        <v>1</v>
      </c>
      <c r="AD151" s="30">
        <v>0</v>
      </c>
      <c r="AE151" s="28">
        <v>7</v>
      </c>
      <c r="AF151" s="28">
        <v>7</v>
      </c>
      <c r="AG151" s="28">
        <v>7</v>
      </c>
      <c r="AH151" s="28">
        <v>10</v>
      </c>
      <c r="AI151" s="28">
        <v>10</v>
      </c>
      <c r="AJ151" s="28">
        <v>0</v>
      </c>
      <c r="AK151" s="28">
        <v>0</v>
      </c>
      <c r="AL151" s="29">
        <v>1</v>
      </c>
      <c r="AM151" s="30">
        <v>0</v>
      </c>
    </row>
    <row r="152" spans="1:39" s="1" customFormat="1" ht="16.5" customHeight="1">
      <c r="A152" s="31" t="s">
        <v>25</v>
      </c>
      <c r="B152" s="32" t="s">
        <v>22</v>
      </c>
      <c r="C152" s="32">
        <v>18004637</v>
      </c>
      <c r="D152" s="28">
        <v>0</v>
      </c>
      <c r="E152" s="28">
        <v>10</v>
      </c>
      <c r="F152" s="28">
        <v>10</v>
      </c>
      <c r="G152" s="28">
        <v>10</v>
      </c>
      <c r="H152" s="28">
        <v>0</v>
      </c>
      <c r="I152" s="28">
        <v>0</v>
      </c>
      <c r="J152" s="28">
        <v>0</v>
      </c>
      <c r="K152" s="29">
        <v>-12</v>
      </c>
      <c r="L152" s="29">
        <v>10</v>
      </c>
      <c r="M152" s="28">
        <v>10</v>
      </c>
      <c r="N152" s="28">
        <v>10</v>
      </c>
      <c r="O152" s="28">
        <v>10</v>
      </c>
      <c r="P152" s="28">
        <v>10</v>
      </c>
      <c r="Q152" s="28">
        <v>10</v>
      </c>
      <c r="R152" s="28">
        <v>0</v>
      </c>
      <c r="S152" s="28">
        <v>0</v>
      </c>
      <c r="T152" s="29">
        <v>10</v>
      </c>
      <c r="U152" s="30">
        <v>0</v>
      </c>
      <c r="V152" s="28">
        <v>7</v>
      </c>
      <c r="W152" s="28">
        <v>7</v>
      </c>
      <c r="X152" s="28">
        <v>7</v>
      </c>
      <c r="Y152" s="28">
        <v>7</v>
      </c>
      <c r="Z152" s="28">
        <v>10</v>
      </c>
      <c r="AA152" s="28">
        <v>10</v>
      </c>
      <c r="AB152" s="28">
        <v>0</v>
      </c>
      <c r="AC152" s="29">
        <v>8</v>
      </c>
      <c r="AD152" s="30">
        <v>0</v>
      </c>
      <c r="AE152" s="28">
        <v>0</v>
      </c>
      <c r="AF152" s="28">
        <v>7</v>
      </c>
      <c r="AG152" s="28">
        <v>7</v>
      </c>
      <c r="AH152" s="28">
        <v>7</v>
      </c>
      <c r="AI152" s="28">
        <v>7</v>
      </c>
      <c r="AJ152" s="28">
        <v>10</v>
      </c>
      <c r="AK152" s="28">
        <v>10</v>
      </c>
      <c r="AL152" s="29">
        <v>8</v>
      </c>
      <c r="AM152" s="30">
        <v>0</v>
      </c>
    </row>
    <row r="153" spans="1:39" s="1" customFormat="1" ht="16.5" customHeight="1">
      <c r="A153" s="31" t="s">
        <v>326</v>
      </c>
      <c r="B153" s="32" t="s">
        <v>22</v>
      </c>
      <c r="C153" s="32">
        <v>18008448</v>
      </c>
      <c r="D153" s="28">
        <v>0</v>
      </c>
      <c r="E153" s="28">
        <v>10</v>
      </c>
      <c r="F153" s="28">
        <v>10</v>
      </c>
      <c r="G153" s="28">
        <v>10</v>
      </c>
      <c r="H153" s="28">
        <v>0</v>
      </c>
      <c r="I153" s="28">
        <v>0</v>
      </c>
      <c r="J153" s="28">
        <v>0</v>
      </c>
      <c r="K153" s="29">
        <v>-12</v>
      </c>
      <c r="L153" s="29">
        <v>10</v>
      </c>
      <c r="M153" s="28">
        <v>7</v>
      </c>
      <c r="N153" s="28">
        <v>7</v>
      </c>
      <c r="O153" s="28">
        <v>7</v>
      </c>
      <c r="P153" s="28">
        <v>7</v>
      </c>
      <c r="Q153" s="28">
        <v>7</v>
      </c>
      <c r="R153" s="28">
        <v>10</v>
      </c>
      <c r="S153" s="28">
        <v>10</v>
      </c>
      <c r="T153" s="29">
        <v>15</v>
      </c>
      <c r="U153" s="30">
        <v>0</v>
      </c>
      <c r="V153" s="28">
        <v>0</v>
      </c>
      <c r="W153" s="28">
        <v>0</v>
      </c>
      <c r="X153" s="28" t="s">
        <v>68</v>
      </c>
      <c r="Y153" s="28" t="s">
        <v>68</v>
      </c>
      <c r="Z153" s="28" t="s">
        <v>68</v>
      </c>
      <c r="AA153" s="28" t="s">
        <v>68</v>
      </c>
      <c r="AB153" s="28" t="s">
        <v>68</v>
      </c>
      <c r="AC153" s="29">
        <v>0</v>
      </c>
      <c r="AD153" s="30">
        <v>0</v>
      </c>
      <c r="AE153" s="28" t="s">
        <v>68</v>
      </c>
      <c r="AF153" s="28" t="s">
        <v>68</v>
      </c>
      <c r="AG153" s="28" t="s">
        <v>68</v>
      </c>
      <c r="AH153" s="28">
        <v>7</v>
      </c>
      <c r="AI153" s="28">
        <v>7</v>
      </c>
      <c r="AJ153" s="28">
        <v>10</v>
      </c>
      <c r="AK153" s="28">
        <v>10</v>
      </c>
      <c r="AL153" s="29">
        <v>2</v>
      </c>
      <c r="AM153" s="30">
        <v>0</v>
      </c>
    </row>
    <row r="154" spans="1:39" s="1" customFormat="1" ht="16.5" customHeight="1">
      <c r="A154" s="31" t="s">
        <v>290</v>
      </c>
      <c r="B154" s="32" t="s">
        <v>10</v>
      </c>
      <c r="C154" s="32">
        <v>18007962</v>
      </c>
      <c r="D154" s="28"/>
      <c r="E154" s="28">
        <v>12</v>
      </c>
      <c r="F154" s="28">
        <v>7</v>
      </c>
      <c r="G154" s="28">
        <v>10</v>
      </c>
      <c r="H154" s="28">
        <v>10</v>
      </c>
      <c r="I154" s="28"/>
      <c r="J154" s="28"/>
      <c r="K154" s="29">
        <v>0</v>
      </c>
      <c r="L154" s="29">
        <v>7</v>
      </c>
      <c r="M154" s="28">
        <v>12</v>
      </c>
      <c r="N154" s="28">
        <v>12</v>
      </c>
      <c r="O154" s="28">
        <v>10</v>
      </c>
      <c r="P154" s="28">
        <v>10</v>
      </c>
      <c r="Q154" s="28"/>
      <c r="R154" s="28"/>
      <c r="S154" s="28">
        <v>7</v>
      </c>
      <c r="T154" s="29">
        <v>11</v>
      </c>
      <c r="U154" s="30">
        <v>0</v>
      </c>
      <c r="V154" s="28">
        <v>12</v>
      </c>
      <c r="W154" s="28">
        <v>12</v>
      </c>
      <c r="X154" s="28">
        <v>10</v>
      </c>
      <c r="Y154" s="28"/>
      <c r="Z154" s="28"/>
      <c r="AA154" s="28">
        <v>7</v>
      </c>
      <c r="AB154" s="28">
        <v>7</v>
      </c>
      <c r="AC154" s="29">
        <v>8</v>
      </c>
      <c r="AD154" s="30">
        <v>0</v>
      </c>
      <c r="AE154" s="28">
        <v>12</v>
      </c>
      <c r="AF154" s="28">
        <v>12</v>
      </c>
      <c r="AG154" s="28"/>
      <c r="AH154" s="28"/>
      <c r="AI154" s="28">
        <v>7</v>
      </c>
      <c r="AJ154" s="28">
        <v>7</v>
      </c>
      <c r="AK154" s="28">
        <v>10</v>
      </c>
      <c r="AL154" s="29">
        <v>8</v>
      </c>
      <c r="AM154" s="30">
        <v>0</v>
      </c>
    </row>
    <row r="155" spans="1:39" s="1" customFormat="1" ht="16.5" customHeight="1">
      <c r="A155" s="31" t="s">
        <v>11</v>
      </c>
      <c r="B155" s="32" t="s">
        <v>10</v>
      </c>
      <c r="C155" s="32">
        <v>18004098</v>
      </c>
      <c r="D155" s="28"/>
      <c r="E155" s="28"/>
      <c r="F155" s="28">
        <v>10</v>
      </c>
      <c r="G155" s="28">
        <v>10</v>
      </c>
      <c r="H155" s="28">
        <v>10</v>
      </c>
      <c r="I155" s="28">
        <v>10</v>
      </c>
      <c r="J155" s="28">
        <v>10</v>
      </c>
      <c r="K155" s="29">
        <v>8</v>
      </c>
      <c r="L155" s="29">
        <v>10</v>
      </c>
      <c r="M155" s="28">
        <v>8</v>
      </c>
      <c r="N155" s="28"/>
      <c r="O155" s="28">
        <v>10</v>
      </c>
      <c r="P155" s="28">
        <v>10</v>
      </c>
      <c r="Q155" s="28">
        <v>10</v>
      </c>
      <c r="R155" s="28">
        <v>10</v>
      </c>
      <c r="S155" s="28">
        <v>10</v>
      </c>
      <c r="T155" s="29">
        <v>18</v>
      </c>
      <c r="U155" s="30">
        <v>0</v>
      </c>
      <c r="V155" s="28"/>
      <c r="W155" s="28"/>
      <c r="X155" s="28">
        <v>10</v>
      </c>
      <c r="Y155" s="28">
        <v>10</v>
      </c>
      <c r="Z155" s="28">
        <v>10</v>
      </c>
      <c r="AA155" s="28">
        <v>10</v>
      </c>
      <c r="AB155" s="28">
        <v>10</v>
      </c>
      <c r="AC155" s="29">
        <v>10</v>
      </c>
      <c r="AD155" s="30">
        <v>0</v>
      </c>
      <c r="AE155" s="28"/>
      <c r="AF155" s="28"/>
      <c r="AG155" s="28">
        <v>10</v>
      </c>
      <c r="AH155" s="28">
        <v>10</v>
      </c>
      <c r="AI155" s="28">
        <v>10</v>
      </c>
      <c r="AJ155" s="28">
        <v>10</v>
      </c>
      <c r="AK155" s="28">
        <v>10</v>
      </c>
      <c r="AL155" s="29">
        <v>10</v>
      </c>
      <c r="AM155" s="30">
        <v>0</v>
      </c>
    </row>
    <row r="156" spans="1:39" s="1" customFormat="1" ht="16.5" customHeight="1">
      <c r="A156" s="31" t="s">
        <v>12</v>
      </c>
      <c r="B156" s="32" t="s">
        <v>10</v>
      </c>
      <c r="C156" s="32">
        <v>18005490</v>
      </c>
      <c r="D156" s="28"/>
      <c r="E156" s="28">
        <v>7</v>
      </c>
      <c r="F156" s="28">
        <v>7</v>
      </c>
      <c r="G156" s="28">
        <v>12</v>
      </c>
      <c r="H156" s="28">
        <v>12</v>
      </c>
      <c r="I156" s="28"/>
      <c r="J156" s="28"/>
      <c r="K156" s="29">
        <v>-1</v>
      </c>
      <c r="L156" s="29">
        <v>7</v>
      </c>
      <c r="M156" s="28">
        <v>12</v>
      </c>
      <c r="N156" s="28">
        <v>12</v>
      </c>
      <c r="O156" s="28">
        <v>12</v>
      </c>
      <c r="P156" s="28">
        <v>12</v>
      </c>
      <c r="Q156" s="28"/>
      <c r="R156" s="28"/>
      <c r="S156" s="28">
        <v>12</v>
      </c>
      <c r="T156" s="29">
        <v>20</v>
      </c>
      <c r="U156" s="30">
        <v>0</v>
      </c>
      <c r="V156" s="28">
        <v>12</v>
      </c>
      <c r="W156" s="28">
        <v>7</v>
      </c>
      <c r="X156" s="28">
        <v>7</v>
      </c>
      <c r="Y156" s="28">
        <v>10</v>
      </c>
      <c r="Z156" s="28">
        <v>10</v>
      </c>
      <c r="AA156" s="28"/>
      <c r="AB156" s="28"/>
      <c r="AC156" s="29">
        <v>6</v>
      </c>
      <c r="AD156" s="30">
        <v>0</v>
      </c>
      <c r="AE156" s="28">
        <v>7</v>
      </c>
      <c r="AF156" s="28">
        <v>7</v>
      </c>
      <c r="AG156" s="28">
        <v>7</v>
      </c>
      <c r="AH156" s="28">
        <v>7</v>
      </c>
      <c r="AI156" s="28">
        <v>10</v>
      </c>
      <c r="AJ156" s="28">
        <v>10</v>
      </c>
      <c r="AK156" s="28"/>
      <c r="AL156" s="29">
        <v>8</v>
      </c>
      <c r="AM156" s="30">
        <v>0</v>
      </c>
    </row>
    <row r="157" spans="1:39" s="1" customFormat="1" ht="16.5" customHeight="1">
      <c r="A157" s="31" t="s">
        <v>13</v>
      </c>
      <c r="B157" s="32" t="s">
        <v>10</v>
      </c>
      <c r="C157" s="32">
        <v>18006053</v>
      </c>
      <c r="D157" s="28">
        <v>12</v>
      </c>
      <c r="E157" s="28">
        <v>12</v>
      </c>
      <c r="F157" s="28">
        <v>10</v>
      </c>
      <c r="G157" s="28"/>
      <c r="H157" s="28"/>
      <c r="I157" s="28">
        <v>7</v>
      </c>
      <c r="J157" s="28">
        <v>7</v>
      </c>
      <c r="K157" s="29">
        <v>6</v>
      </c>
      <c r="L157" s="29">
        <v>10</v>
      </c>
      <c r="M157" s="28">
        <v>12</v>
      </c>
      <c r="N157" s="28">
        <v>12</v>
      </c>
      <c r="O157" s="28"/>
      <c r="P157" s="28"/>
      <c r="Q157" s="28">
        <v>7</v>
      </c>
      <c r="R157" s="28">
        <v>7</v>
      </c>
      <c r="S157" s="28">
        <v>10</v>
      </c>
      <c r="T157" s="29">
        <v>8</v>
      </c>
      <c r="U157" s="30">
        <v>0</v>
      </c>
      <c r="V157" s="28">
        <v>12</v>
      </c>
      <c r="W157" s="28"/>
      <c r="X157" s="28"/>
      <c r="Y157" s="28">
        <v>7</v>
      </c>
      <c r="Z157" s="28">
        <v>7</v>
      </c>
      <c r="AA157" s="28">
        <v>10</v>
      </c>
      <c r="AB157" s="28">
        <v>10</v>
      </c>
      <c r="AC157" s="29">
        <v>6</v>
      </c>
      <c r="AD157" s="30">
        <v>0</v>
      </c>
      <c r="AE157" s="28"/>
      <c r="AF157" s="28"/>
      <c r="AG157" s="28">
        <v>7</v>
      </c>
      <c r="AH157" s="28">
        <v>7</v>
      </c>
      <c r="AI157" s="28">
        <v>10</v>
      </c>
      <c r="AJ157" s="28">
        <v>10</v>
      </c>
      <c r="AK157" s="28"/>
      <c r="AL157" s="29">
        <v>-6</v>
      </c>
      <c r="AM157" s="30">
        <v>0</v>
      </c>
    </row>
    <row r="158" spans="1:39" s="1" customFormat="1" ht="16.5" customHeight="1">
      <c r="A158" s="31" t="s">
        <v>14</v>
      </c>
      <c r="B158" s="32" t="s">
        <v>10</v>
      </c>
      <c r="C158" s="32">
        <v>18004365</v>
      </c>
      <c r="D158" s="28"/>
      <c r="E158" s="28"/>
      <c r="F158" s="28">
        <v>9</v>
      </c>
      <c r="G158" s="28">
        <v>9</v>
      </c>
      <c r="H158" s="28">
        <v>9</v>
      </c>
      <c r="I158" s="28">
        <v>9</v>
      </c>
      <c r="J158" s="28">
        <v>9</v>
      </c>
      <c r="K158" s="29">
        <v>4</v>
      </c>
      <c r="L158" s="29">
        <v>9</v>
      </c>
      <c r="M158" s="28"/>
      <c r="N158" s="28"/>
      <c r="O158" s="28">
        <v>10</v>
      </c>
      <c r="P158" s="28">
        <v>9</v>
      </c>
      <c r="Q158" s="28">
        <v>10</v>
      </c>
      <c r="R158" s="28">
        <v>9</v>
      </c>
      <c r="S158" s="28">
        <v>10</v>
      </c>
      <c r="T158" s="29">
        <v>8</v>
      </c>
      <c r="U158" s="30">
        <v>0</v>
      </c>
      <c r="V158" s="28"/>
      <c r="W158" s="28"/>
      <c r="X158" s="28">
        <v>9</v>
      </c>
      <c r="Y158" s="28">
        <v>9</v>
      </c>
      <c r="Z158" s="28">
        <v>10</v>
      </c>
      <c r="AA158" s="28">
        <v>10</v>
      </c>
      <c r="AB158" s="28">
        <v>10</v>
      </c>
      <c r="AC158" s="29">
        <v>8</v>
      </c>
      <c r="AD158" s="30">
        <v>0</v>
      </c>
      <c r="AE158" s="28"/>
      <c r="AF158" s="28"/>
      <c r="AG158" s="28">
        <v>9</v>
      </c>
      <c r="AH158" s="28">
        <v>10</v>
      </c>
      <c r="AI158" s="28">
        <v>10</v>
      </c>
      <c r="AJ158" s="28">
        <v>9</v>
      </c>
      <c r="AK158" s="28">
        <v>10</v>
      </c>
      <c r="AL158" s="29">
        <v>8</v>
      </c>
      <c r="AM158" s="30">
        <v>0</v>
      </c>
    </row>
    <row r="159" spans="1:39" s="1" customFormat="1" ht="16.5" customHeight="1">
      <c r="A159" s="31" t="s">
        <v>15</v>
      </c>
      <c r="B159" s="32" t="s">
        <v>10</v>
      </c>
      <c r="C159" s="32">
        <v>18004376</v>
      </c>
      <c r="D159" s="28"/>
      <c r="E159" s="28"/>
      <c r="F159" s="28">
        <v>10</v>
      </c>
      <c r="G159" s="28">
        <v>10</v>
      </c>
      <c r="H159" s="28">
        <v>10</v>
      </c>
      <c r="I159" s="28">
        <v>10</v>
      </c>
      <c r="J159" s="28">
        <v>10</v>
      </c>
      <c r="K159" s="29">
        <v>8</v>
      </c>
      <c r="L159" s="29">
        <v>10</v>
      </c>
      <c r="M159" s="28"/>
      <c r="N159" s="28"/>
      <c r="O159" s="28">
        <v>10</v>
      </c>
      <c r="P159" s="28">
        <v>10</v>
      </c>
      <c r="Q159" s="28">
        <v>10</v>
      </c>
      <c r="R159" s="28">
        <v>10</v>
      </c>
      <c r="S159" s="28">
        <v>10</v>
      </c>
      <c r="T159" s="29">
        <v>10</v>
      </c>
      <c r="U159" s="30">
        <v>0</v>
      </c>
      <c r="V159" s="28"/>
      <c r="W159" s="28"/>
      <c r="X159" s="28">
        <v>10</v>
      </c>
      <c r="Y159" s="28">
        <v>10</v>
      </c>
      <c r="Z159" s="28">
        <v>10</v>
      </c>
      <c r="AA159" s="28">
        <v>10</v>
      </c>
      <c r="AB159" s="28">
        <v>10</v>
      </c>
      <c r="AC159" s="29">
        <v>10</v>
      </c>
      <c r="AD159" s="30">
        <v>0</v>
      </c>
      <c r="AE159" s="28"/>
      <c r="AF159" s="28"/>
      <c r="AG159" s="28">
        <v>10</v>
      </c>
      <c r="AH159" s="28">
        <v>10</v>
      </c>
      <c r="AI159" s="28">
        <v>10</v>
      </c>
      <c r="AJ159" s="28">
        <v>10</v>
      </c>
      <c r="AK159" s="28">
        <v>10</v>
      </c>
      <c r="AL159" s="29">
        <v>10</v>
      </c>
      <c r="AM159" s="30">
        <v>0</v>
      </c>
    </row>
    <row r="160" spans="1:39" s="1" customFormat="1" ht="16.5" customHeight="1">
      <c r="A160" s="31" t="s">
        <v>289</v>
      </c>
      <c r="B160" s="32" t="s">
        <v>10</v>
      </c>
      <c r="C160" s="32">
        <v>18007252</v>
      </c>
      <c r="D160" s="28" t="s">
        <v>327</v>
      </c>
      <c r="E160" s="28" t="s">
        <v>328</v>
      </c>
      <c r="F160" s="28" t="s">
        <v>328</v>
      </c>
      <c r="G160" s="28" t="s">
        <v>328</v>
      </c>
      <c r="H160" s="28" t="s">
        <v>328</v>
      </c>
      <c r="I160" s="28" t="s">
        <v>328</v>
      </c>
      <c r="J160" s="28" t="s">
        <v>328</v>
      </c>
      <c r="K160" s="29">
        <v>0</v>
      </c>
      <c r="L160" s="29">
        <v>0</v>
      </c>
      <c r="M160" s="28"/>
      <c r="N160" s="28"/>
      <c r="O160" s="28" t="s">
        <v>328</v>
      </c>
      <c r="P160" s="28" t="s">
        <v>328</v>
      </c>
      <c r="Q160" s="28" t="s">
        <v>328</v>
      </c>
      <c r="R160" s="28" t="s">
        <v>328</v>
      </c>
      <c r="S160" s="28" t="s">
        <v>328</v>
      </c>
      <c r="T160" s="29">
        <v>0</v>
      </c>
      <c r="U160" s="30">
        <v>0</v>
      </c>
      <c r="V160" s="28"/>
      <c r="W160" s="28"/>
      <c r="X160" s="28" t="s">
        <v>328</v>
      </c>
      <c r="Y160" s="28" t="s">
        <v>328</v>
      </c>
      <c r="Z160" s="28" t="s">
        <v>328</v>
      </c>
      <c r="AA160" s="28">
        <v>7</v>
      </c>
      <c r="AB160" s="28">
        <v>7</v>
      </c>
      <c r="AC160" s="29">
        <v>-2</v>
      </c>
      <c r="AD160" s="30">
        <v>0</v>
      </c>
      <c r="AE160" s="28">
        <v>7</v>
      </c>
      <c r="AF160" s="28">
        <v>7</v>
      </c>
      <c r="AG160" s="28">
        <v>10</v>
      </c>
      <c r="AH160" s="28">
        <v>10</v>
      </c>
      <c r="AI160" s="28"/>
      <c r="AJ160" s="28"/>
      <c r="AK160" s="28">
        <v>7</v>
      </c>
      <c r="AL160" s="29">
        <v>1</v>
      </c>
      <c r="AM160" s="30">
        <v>0</v>
      </c>
    </row>
    <row r="161" spans="1:39" s="1" customFormat="1" ht="16.5" customHeight="1">
      <c r="A161" s="31" t="s">
        <v>16</v>
      </c>
      <c r="B161" s="32" t="s">
        <v>10</v>
      </c>
      <c r="C161" s="32">
        <v>18004446</v>
      </c>
      <c r="D161" s="28"/>
      <c r="E161" s="28">
        <v>7</v>
      </c>
      <c r="F161" s="28">
        <v>7</v>
      </c>
      <c r="G161" s="28">
        <v>12</v>
      </c>
      <c r="H161" s="28">
        <v>12</v>
      </c>
      <c r="I161" s="28"/>
      <c r="J161" s="28"/>
      <c r="K161" s="29">
        <v>-1</v>
      </c>
      <c r="L161" s="29">
        <v>7</v>
      </c>
      <c r="M161" s="28"/>
      <c r="N161" s="28"/>
      <c r="O161" s="28">
        <v>12</v>
      </c>
      <c r="P161" s="28">
        <v>12</v>
      </c>
      <c r="Q161" s="28">
        <v>12</v>
      </c>
      <c r="R161" s="28">
        <v>12</v>
      </c>
      <c r="S161" s="28"/>
      <c r="T161" s="29">
        <v>8</v>
      </c>
      <c r="U161" s="30">
        <v>0</v>
      </c>
      <c r="V161" s="28"/>
      <c r="W161" s="28">
        <v>12</v>
      </c>
      <c r="X161" s="28">
        <v>12</v>
      </c>
      <c r="Y161" s="28">
        <v>7</v>
      </c>
      <c r="Z161" s="28">
        <v>7</v>
      </c>
      <c r="AA161" s="28">
        <v>10</v>
      </c>
      <c r="AB161" s="28">
        <v>10</v>
      </c>
      <c r="AC161" s="29">
        <v>18</v>
      </c>
      <c r="AD161" s="30">
        <v>0</v>
      </c>
      <c r="AE161" s="28"/>
      <c r="AF161" s="28"/>
      <c r="AG161" s="28">
        <v>7</v>
      </c>
      <c r="AH161" s="28">
        <v>7</v>
      </c>
      <c r="AI161" s="28">
        <v>7</v>
      </c>
      <c r="AJ161" s="28">
        <v>7</v>
      </c>
      <c r="AK161" s="28">
        <v>10</v>
      </c>
      <c r="AL161" s="29">
        <v>-2</v>
      </c>
      <c r="AM161" s="30">
        <v>0</v>
      </c>
    </row>
    <row r="162" spans="1:39" s="1" customFormat="1" ht="16.5" customHeight="1">
      <c r="A162" s="31" t="s">
        <v>17</v>
      </c>
      <c r="B162" s="32" t="s">
        <v>10</v>
      </c>
      <c r="C162" s="32">
        <v>18004573</v>
      </c>
      <c r="D162" s="28">
        <v>7</v>
      </c>
      <c r="E162" s="28">
        <v>10</v>
      </c>
      <c r="F162" s="28">
        <v>10</v>
      </c>
      <c r="G162" s="28"/>
      <c r="H162" s="28"/>
      <c r="I162" s="28">
        <v>12</v>
      </c>
      <c r="J162" s="28">
        <v>12</v>
      </c>
      <c r="K162" s="29">
        <v>9</v>
      </c>
      <c r="L162" s="29">
        <v>10</v>
      </c>
      <c r="M162" s="28">
        <v>12</v>
      </c>
      <c r="N162" s="28">
        <v>12</v>
      </c>
      <c r="O162" s="28"/>
      <c r="P162" s="28"/>
      <c r="Q162" s="28">
        <v>12</v>
      </c>
      <c r="R162" s="28">
        <v>12</v>
      </c>
      <c r="S162" s="28">
        <v>12</v>
      </c>
      <c r="T162" s="29">
        <v>20</v>
      </c>
      <c r="U162" s="30">
        <v>0</v>
      </c>
      <c r="V162" s="28">
        <v>12</v>
      </c>
      <c r="W162" s="28"/>
      <c r="X162" s="28"/>
      <c r="Y162" s="28">
        <v>7</v>
      </c>
      <c r="Z162" s="28">
        <v>7</v>
      </c>
      <c r="AA162" s="28">
        <v>7</v>
      </c>
      <c r="AB162" s="28">
        <v>7</v>
      </c>
      <c r="AC162" s="29">
        <v>0</v>
      </c>
      <c r="AD162" s="30">
        <v>0</v>
      </c>
      <c r="AE162" s="28">
        <v>10</v>
      </c>
      <c r="AF162" s="28">
        <v>10</v>
      </c>
      <c r="AG162" s="28"/>
      <c r="AH162" s="28"/>
      <c r="AI162" s="28">
        <v>7</v>
      </c>
      <c r="AJ162" s="28">
        <v>7</v>
      </c>
      <c r="AK162" s="28">
        <v>7</v>
      </c>
      <c r="AL162" s="29">
        <v>1</v>
      </c>
      <c r="AM162" s="30">
        <v>0</v>
      </c>
    </row>
    <row r="163" spans="1:39" s="1" customFormat="1" ht="16.5" customHeight="1">
      <c r="A163" s="31" t="s">
        <v>18</v>
      </c>
      <c r="B163" s="32" t="s">
        <v>19</v>
      </c>
      <c r="C163" s="32">
        <v>18004228</v>
      </c>
      <c r="D163" s="28">
        <v>8</v>
      </c>
      <c r="E163" s="28">
        <v>8</v>
      </c>
      <c r="F163" s="28">
        <v>7</v>
      </c>
      <c r="G163" s="28">
        <v>8</v>
      </c>
      <c r="H163" s="28"/>
      <c r="I163" s="28">
        <v>8</v>
      </c>
      <c r="J163" s="28">
        <v>7</v>
      </c>
      <c r="K163" s="29">
        <v>7</v>
      </c>
      <c r="L163" s="29">
        <v>7</v>
      </c>
      <c r="M163" s="28">
        <v>8</v>
      </c>
      <c r="N163" s="28"/>
      <c r="O163" s="28">
        <v>8</v>
      </c>
      <c r="P163" s="28">
        <v>8</v>
      </c>
      <c r="Q163" s="28">
        <v>7</v>
      </c>
      <c r="R163" s="28"/>
      <c r="S163" s="28">
        <v>7</v>
      </c>
      <c r="T163" s="29">
        <v>-2</v>
      </c>
      <c r="U163" s="30">
        <v>0</v>
      </c>
      <c r="V163" s="28">
        <v>8</v>
      </c>
      <c r="W163" s="28">
        <v>8</v>
      </c>
      <c r="X163" s="28"/>
      <c r="Y163" s="28">
        <v>8</v>
      </c>
      <c r="Z163" s="28">
        <v>7</v>
      </c>
      <c r="AA163" s="28">
        <v>8</v>
      </c>
      <c r="AB163" s="28"/>
      <c r="AC163" s="29">
        <v>-1</v>
      </c>
      <c r="AD163" s="30">
        <v>0</v>
      </c>
      <c r="AE163" s="28">
        <v>8</v>
      </c>
      <c r="AF163" s="28">
        <v>8</v>
      </c>
      <c r="AG163" s="28">
        <v>7</v>
      </c>
      <c r="AH163" s="28"/>
      <c r="AI163" s="28">
        <v>8</v>
      </c>
      <c r="AJ163" s="28">
        <v>8</v>
      </c>
      <c r="AK163" s="28"/>
      <c r="AL163" s="29">
        <v>-1</v>
      </c>
      <c r="AM163" s="30">
        <v>0</v>
      </c>
    </row>
    <row r="164" spans="1:39" s="1" customFormat="1" ht="16.5" customHeight="1">
      <c r="A164" s="31" t="s">
        <v>109</v>
      </c>
      <c r="B164" s="32" t="s">
        <v>19</v>
      </c>
      <c r="C164" s="32">
        <v>18007740</v>
      </c>
      <c r="D164" s="28">
        <v>10</v>
      </c>
      <c r="E164" s="28">
        <v>10</v>
      </c>
      <c r="F164" s="28">
        <v>8</v>
      </c>
      <c r="G164" s="28"/>
      <c r="H164" s="28">
        <v>10</v>
      </c>
      <c r="I164" s="28">
        <v>7</v>
      </c>
      <c r="J164" s="28">
        <v>8</v>
      </c>
      <c r="K164" s="29">
        <v>13</v>
      </c>
      <c r="L164" s="29">
        <v>8</v>
      </c>
      <c r="M164" s="28"/>
      <c r="N164" s="28">
        <v>7</v>
      </c>
      <c r="O164" s="28">
        <v>10</v>
      </c>
      <c r="P164" s="28">
        <v>10</v>
      </c>
      <c r="Q164" s="28"/>
      <c r="R164" s="28">
        <v>10</v>
      </c>
      <c r="S164" s="28">
        <v>10</v>
      </c>
      <c r="T164" s="29">
        <v>7</v>
      </c>
      <c r="U164" s="30">
        <v>0</v>
      </c>
      <c r="V164" s="28">
        <v>7</v>
      </c>
      <c r="W164" s="28"/>
      <c r="X164" s="28">
        <v>10</v>
      </c>
      <c r="Y164" s="28">
        <v>7</v>
      </c>
      <c r="Z164" s="28">
        <v>8</v>
      </c>
      <c r="AA164" s="28"/>
      <c r="AB164" s="28">
        <v>7</v>
      </c>
      <c r="AC164" s="29">
        <v>-1</v>
      </c>
      <c r="AD164" s="30">
        <v>0</v>
      </c>
      <c r="AE164" s="28">
        <v>10</v>
      </c>
      <c r="AF164" s="28">
        <v>10</v>
      </c>
      <c r="AG164" s="28"/>
      <c r="AH164" s="28">
        <v>10</v>
      </c>
      <c r="AI164" s="28">
        <v>7</v>
      </c>
      <c r="AJ164" s="28">
        <v>10</v>
      </c>
      <c r="AK164" s="28"/>
      <c r="AL164" s="29">
        <v>7</v>
      </c>
      <c r="AM164" s="30">
        <v>0</v>
      </c>
    </row>
    <row r="165" spans="1:39" s="1" customFormat="1" ht="16.5" customHeight="1">
      <c r="A165" s="31" t="s">
        <v>20</v>
      </c>
      <c r="B165" s="32" t="s">
        <v>19</v>
      </c>
      <c r="C165" s="32">
        <v>18004644</v>
      </c>
      <c r="D165" s="28">
        <v>7</v>
      </c>
      <c r="E165" s="28"/>
      <c r="F165" s="28">
        <v>10</v>
      </c>
      <c r="G165" s="28">
        <v>10</v>
      </c>
      <c r="H165" s="28">
        <v>7</v>
      </c>
      <c r="I165" s="28"/>
      <c r="J165" s="28">
        <v>10</v>
      </c>
      <c r="K165" s="29">
        <v>2</v>
      </c>
      <c r="L165" s="29">
        <v>10</v>
      </c>
      <c r="M165" s="28">
        <v>7</v>
      </c>
      <c r="N165" s="28">
        <v>8</v>
      </c>
      <c r="O165" s="28"/>
      <c r="P165" s="28">
        <v>7</v>
      </c>
      <c r="Q165" s="28">
        <v>8</v>
      </c>
      <c r="R165" s="28">
        <v>8</v>
      </c>
      <c r="S165" s="28"/>
      <c r="T165" s="29">
        <v>-2</v>
      </c>
      <c r="U165" s="30">
        <v>0</v>
      </c>
      <c r="V165" s="28">
        <v>10</v>
      </c>
      <c r="W165" s="28">
        <v>10</v>
      </c>
      <c r="X165" s="28">
        <v>7</v>
      </c>
      <c r="Y165" s="28"/>
      <c r="Z165" s="28">
        <v>10</v>
      </c>
      <c r="AA165" s="28">
        <v>7</v>
      </c>
      <c r="AB165" s="28">
        <v>8</v>
      </c>
      <c r="AC165" s="29">
        <v>12</v>
      </c>
      <c r="AD165" s="30">
        <v>0</v>
      </c>
      <c r="AE165" s="28"/>
      <c r="AF165" s="28">
        <v>10</v>
      </c>
      <c r="AG165" s="28">
        <v>10</v>
      </c>
      <c r="AH165" s="28">
        <v>7</v>
      </c>
      <c r="AI165" s="28"/>
      <c r="AJ165" s="28">
        <v>10</v>
      </c>
      <c r="AK165" s="28">
        <v>10</v>
      </c>
      <c r="AL165" s="29">
        <v>7</v>
      </c>
      <c r="AM165" s="30">
        <v>0</v>
      </c>
    </row>
    <row r="166" spans="1:39" s="1" customFormat="1" ht="16.5" customHeight="1">
      <c r="A166" s="31" t="s">
        <v>324</v>
      </c>
      <c r="B166" s="32" t="s">
        <v>10</v>
      </c>
      <c r="C166" s="32">
        <v>18008450</v>
      </c>
      <c r="D166" s="28">
        <v>12</v>
      </c>
      <c r="E166" s="28"/>
      <c r="F166" s="28"/>
      <c r="G166" s="28">
        <v>7</v>
      </c>
      <c r="H166" s="28">
        <v>7</v>
      </c>
      <c r="I166" s="28">
        <v>10</v>
      </c>
      <c r="J166" s="28">
        <v>10</v>
      </c>
      <c r="K166" s="29">
        <v>14</v>
      </c>
      <c r="L166" s="29">
        <v>0</v>
      </c>
      <c r="M166" s="28"/>
      <c r="N166" s="28"/>
      <c r="O166" s="28">
        <v>7</v>
      </c>
      <c r="P166" s="28">
        <v>7</v>
      </c>
      <c r="Q166" s="28">
        <v>10</v>
      </c>
      <c r="R166" s="28">
        <v>10</v>
      </c>
      <c r="S166" s="28"/>
      <c r="T166" s="29">
        <v>-6</v>
      </c>
      <c r="U166" s="30">
        <v>0</v>
      </c>
      <c r="V166" s="28"/>
      <c r="W166" s="28">
        <v>12</v>
      </c>
      <c r="X166" s="28">
        <v>7</v>
      </c>
      <c r="Y166" s="28">
        <v>10</v>
      </c>
      <c r="Z166" s="28">
        <v>10</v>
      </c>
      <c r="AA166" s="28"/>
      <c r="AB166" s="28"/>
      <c r="AC166" s="29">
        <v>-1</v>
      </c>
      <c r="AD166" s="30">
        <v>0</v>
      </c>
      <c r="AE166" s="28">
        <v>12</v>
      </c>
      <c r="AF166" s="28">
        <v>12</v>
      </c>
      <c r="AG166" s="28">
        <v>10</v>
      </c>
      <c r="AH166" s="28">
        <v>10</v>
      </c>
      <c r="AI166" s="28"/>
      <c r="AJ166" s="28"/>
      <c r="AK166" s="28">
        <v>7</v>
      </c>
      <c r="AL166" s="29">
        <v>11</v>
      </c>
      <c r="AM166" s="30">
        <v>0</v>
      </c>
    </row>
    <row r="167" spans="1:39" s="1" customFormat="1" ht="16.5" customHeight="1">
      <c r="A167" s="31" t="s">
        <v>143</v>
      </c>
      <c r="B167" s="32" t="s">
        <v>312</v>
      </c>
      <c r="C167" s="32">
        <v>18004183</v>
      </c>
      <c r="D167" s="28"/>
      <c r="E167" s="28"/>
      <c r="F167" s="28">
        <v>10</v>
      </c>
      <c r="G167" s="28">
        <v>10</v>
      </c>
      <c r="H167" s="28">
        <v>10</v>
      </c>
      <c r="I167" s="28">
        <v>10</v>
      </c>
      <c r="J167" s="28">
        <v>10</v>
      </c>
      <c r="K167" s="29">
        <v>8</v>
      </c>
      <c r="L167" s="29">
        <v>10</v>
      </c>
      <c r="M167" s="28"/>
      <c r="N167" s="28"/>
      <c r="O167" s="28">
        <v>10</v>
      </c>
      <c r="P167" s="28">
        <v>10</v>
      </c>
      <c r="Q167" s="28">
        <v>10</v>
      </c>
      <c r="R167" s="28">
        <v>10</v>
      </c>
      <c r="S167" s="28">
        <v>10</v>
      </c>
      <c r="T167" s="29">
        <v>10</v>
      </c>
      <c r="U167" s="30">
        <v>0</v>
      </c>
      <c r="V167" s="28"/>
      <c r="W167" s="28"/>
      <c r="X167" s="28">
        <v>10</v>
      </c>
      <c r="Y167" s="28">
        <v>10</v>
      </c>
      <c r="Z167" s="28">
        <v>10</v>
      </c>
      <c r="AA167" s="28">
        <v>10</v>
      </c>
      <c r="AB167" s="28">
        <v>10</v>
      </c>
      <c r="AC167" s="29">
        <v>10</v>
      </c>
      <c r="AD167" s="30">
        <v>0</v>
      </c>
      <c r="AE167" s="28"/>
      <c r="AF167" s="28"/>
      <c r="AG167" s="28">
        <v>10</v>
      </c>
      <c r="AH167" s="28">
        <v>10</v>
      </c>
      <c r="AI167" s="28">
        <v>10</v>
      </c>
      <c r="AJ167" s="28">
        <v>10</v>
      </c>
      <c r="AK167" s="28">
        <v>10</v>
      </c>
      <c r="AL167" s="29">
        <v>10</v>
      </c>
      <c r="AM167" s="30">
        <v>0</v>
      </c>
    </row>
    <row r="168" spans="1:39" s="1" customFormat="1" ht="16.5" customHeight="1">
      <c r="A168" s="31" t="s">
        <v>117</v>
      </c>
      <c r="B168" s="32" t="s">
        <v>312</v>
      </c>
      <c r="C168" s="32">
        <v>18004225</v>
      </c>
      <c r="D168" s="28">
        <v>10</v>
      </c>
      <c r="E168" s="28">
        <v>10</v>
      </c>
      <c r="F168" s="28">
        <v>10</v>
      </c>
      <c r="G168" s="28"/>
      <c r="H168" s="28">
        <v>10</v>
      </c>
      <c r="I168" s="28">
        <v>10</v>
      </c>
      <c r="J168" s="28">
        <v>10</v>
      </c>
      <c r="K168" s="29">
        <v>18</v>
      </c>
      <c r="L168" s="29">
        <v>10</v>
      </c>
      <c r="M168" s="28">
        <v>14</v>
      </c>
      <c r="N168" s="28"/>
      <c r="O168" s="28">
        <v>10</v>
      </c>
      <c r="P168" s="28">
        <v>10</v>
      </c>
      <c r="Q168" s="28"/>
      <c r="R168" s="28">
        <v>10</v>
      </c>
      <c r="S168" s="28">
        <v>10</v>
      </c>
      <c r="T168" s="29">
        <v>14</v>
      </c>
      <c r="U168" s="30">
        <v>0</v>
      </c>
      <c r="V168" s="28">
        <v>10</v>
      </c>
      <c r="W168" s="28"/>
      <c r="X168" s="28">
        <v>11</v>
      </c>
      <c r="Y168" s="28">
        <v>10</v>
      </c>
      <c r="Z168" s="28"/>
      <c r="AA168" s="28">
        <v>10</v>
      </c>
      <c r="AB168" s="28">
        <v>10</v>
      </c>
      <c r="AC168" s="29">
        <v>11</v>
      </c>
      <c r="AD168" s="30">
        <v>0</v>
      </c>
      <c r="AE168" s="28"/>
      <c r="AF168" s="28">
        <v>10</v>
      </c>
      <c r="AG168" s="28">
        <v>10</v>
      </c>
      <c r="AH168" s="28"/>
      <c r="AI168" s="28">
        <v>10</v>
      </c>
      <c r="AJ168" s="28">
        <v>10</v>
      </c>
      <c r="AK168" s="28"/>
      <c r="AL168" s="29">
        <v>0</v>
      </c>
      <c r="AM168" s="30">
        <v>0</v>
      </c>
    </row>
    <row r="169" spans="1:39" s="1" customFormat="1" ht="16.5" customHeight="1">
      <c r="A169" s="31" t="s">
        <v>118</v>
      </c>
      <c r="B169" s="32" t="s">
        <v>312</v>
      </c>
      <c r="C169" s="32">
        <v>18004234</v>
      </c>
      <c r="D169" s="28" t="s">
        <v>327</v>
      </c>
      <c r="E169" s="28" t="s">
        <v>328</v>
      </c>
      <c r="F169" s="28" t="s">
        <v>328</v>
      </c>
      <c r="G169" s="28" t="s">
        <v>328</v>
      </c>
      <c r="H169" s="28" t="s">
        <v>328</v>
      </c>
      <c r="I169" s="28" t="s">
        <v>328</v>
      </c>
      <c r="J169" s="28" t="s">
        <v>328</v>
      </c>
      <c r="K169" s="29">
        <v>0</v>
      </c>
      <c r="L169" s="29">
        <v>0</v>
      </c>
      <c r="M169" s="28" t="s">
        <v>328</v>
      </c>
      <c r="N169" s="28" t="s">
        <v>328</v>
      </c>
      <c r="O169" s="28" t="s">
        <v>328</v>
      </c>
      <c r="P169" s="28" t="s">
        <v>328</v>
      </c>
      <c r="Q169" s="28" t="s">
        <v>328</v>
      </c>
      <c r="R169" s="28" t="s">
        <v>328</v>
      </c>
      <c r="S169" s="28" t="s">
        <v>328</v>
      </c>
      <c r="T169" s="29">
        <v>0</v>
      </c>
      <c r="U169" s="30">
        <v>0</v>
      </c>
      <c r="V169" s="28" t="s">
        <v>328</v>
      </c>
      <c r="W169" s="28" t="s">
        <v>328</v>
      </c>
      <c r="X169" s="28" t="s">
        <v>328</v>
      </c>
      <c r="Y169" s="28" t="s">
        <v>328</v>
      </c>
      <c r="Z169" s="28" t="s">
        <v>328</v>
      </c>
      <c r="AA169" s="28" t="s">
        <v>328</v>
      </c>
      <c r="AB169" s="28" t="s">
        <v>328</v>
      </c>
      <c r="AC169" s="29">
        <v>0</v>
      </c>
      <c r="AD169" s="30">
        <v>0</v>
      </c>
      <c r="AE169" s="28" t="s">
        <v>328</v>
      </c>
      <c r="AF169" s="28" t="s">
        <v>328</v>
      </c>
      <c r="AG169" s="28" t="s">
        <v>328</v>
      </c>
      <c r="AH169" s="28" t="s">
        <v>328</v>
      </c>
      <c r="AI169" s="28" t="s">
        <v>328</v>
      </c>
      <c r="AJ169" s="28" t="s">
        <v>328</v>
      </c>
      <c r="AK169" s="28" t="s">
        <v>328</v>
      </c>
      <c r="AL169" s="29">
        <v>0</v>
      </c>
      <c r="AM169" s="30">
        <v>0</v>
      </c>
    </row>
    <row r="170" spans="1:39" s="1" customFormat="1" ht="16.5" customHeight="1">
      <c r="A170" s="31" t="s">
        <v>119</v>
      </c>
      <c r="B170" s="32" t="s">
        <v>312</v>
      </c>
      <c r="C170" s="32">
        <v>18004345</v>
      </c>
      <c r="D170" s="28">
        <v>10</v>
      </c>
      <c r="E170" s="28"/>
      <c r="F170" s="28">
        <v>10</v>
      </c>
      <c r="G170" s="28">
        <v>10</v>
      </c>
      <c r="H170" s="28">
        <v>10</v>
      </c>
      <c r="I170" s="28">
        <v>10</v>
      </c>
      <c r="J170" s="28">
        <v>10</v>
      </c>
      <c r="K170" s="29">
        <v>18</v>
      </c>
      <c r="L170" s="29">
        <v>10</v>
      </c>
      <c r="M170" s="28"/>
      <c r="N170" s="28">
        <v>10</v>
      </c>
      <c r="O170" s="28">
        <v>10</v>
      </c>
      <c r="P170" s="28">
        <v>10</v>
      </c>
      <c r="Q170" s="28">
        <v>10</v>
      </c>
      <c r="R170" s="28">
        <v>10</v>
      </c>
      <c r="S170" s="28">
        <v>10</v>
      </c>
      <c r="T170" s="29">
        <v>20</v>
      </c>
      <c r="U170" s="30">
        <v>0</v>
      </c>
      <c r="V170" s="28"/>
      <c r="W170" s="28">
        <v>10</v>
      </c>
      <c r="X170" s="28">
        <v>10</v>
      </c>
      <c r="Y170" s="28">
        <v>10</v>
      </c>
      <c r="Z170" s="28">
        <v>10</v>
      </c>
      <c r="AA170" s="28">
        <v>10</v>
      </c>
      <c r="AB170" s="28">
        <v>10</v>
      </c>
      <c r="AC170" s="29">
        <v>20</v>
      </c>
      <c r="AD170" s="30">
        <v>0</v>
      </c>
      <c r="AE170" s="28"/>
      <c r="AF170" s="28">
        <v>10</v>
      </c>
      <c r="AG170" s="28">
        <v>10</v>
      </c>
      <c r="AH170" s="28">
        <v>10</v>
      </c>
      <c r="AI170" s="28">
        <v>10</v>
      </c>
      <c r="AJ170" s="28">
        <v>10</v>
      </c>
      <c r="AK170" s="28">
        <v>10</v>
      </c>
      <c r="AL170" s="29">
        <v>20</v>
      </c>
      <c r="AM170" s="30">
        <v>0</v>
      </c>
    </row>
    <row r="171" spans="1:39" s="1" customFormat="1" ht="16.5" customHeight="1">
      <c r="A171" s="31" t="s">
        <v>284</v>
      </c>
      <c r="B171" s="32" t="s">
        <v>308</v>
      </c>
      <c r="C171" s="32">
        <v>18004325</v>
      </c>
      <c r="D171" s="28"/>
      <c r="E171" s="28"/>
      <c r="F171" s="28">
        <v>10</v>
      </c>
      <c r="G171" s="28">
        <v>10</v>
      </c>
      <c r="H171" s="28">
        <v>10</v>
      </c>
      <c r="I171" s="28">
        <v>10</v>
      </c>
      <c r="J171" s="28">
        <v>10</v>
      </c>
      <c r="K171" s="29">
        <v>8</v>
      </c>
      <c r="L171" s="29">
        <v>10</v>
      </c>
      <c r="M171" s="28"/>
      <c r="N171" s="28"/>
      <c r="O171" s="28">
        <v>10</v>
      </c>
      <c r="P171" s="28">
        <v>10</v>
      </c>
      <c r="Q171" s="28">
        <v>10</v>
      </c>
      <c r="R171" s="28">
        <v>10</v>
      </c>
      <c r="S171" s="28">
        <v>10</v>
      </c>
      <c r="T171" s="29">
        <v>10</v>
      </c>
      <c r="U171" s="30">
        <v>0</v>
      </c>
      <c r="V171" s="28"/>
      <c r="W171" s="28"/>
      <c r="X171" s="28">
        <v>10</v>
      </c>
      <c r="Y171" s="28">
        <v>10</v>
      </c>
      <c r="Z171" s="28">
        <v>10</v>
      </c>
      <c r="AA171" s="28">
        <v>10</v>
      </c>
      <c r="AB171" s="28">
        <v>10</v>
      </c>
      <c r="AC171" s="29">
        <v>10</v>
      </c>
      <c r="AD171" s="30">
        <v>0</v>
      </c>
      <c r="AE171" s="28"/>
      <c r="AF171" s="28"/>
      <c r="AG171" s="28">
        <v>10</v>
      </c>
      <c r="AH171" s="28">
        <v>10</v>
      </c>
      <c r="AI171" s="28">
        <v>10</v>
      </c>
      <c r="AJ171" s="28">
        <v>10</v>
      </c>
      <c r="AK171" s="28">
        <v>10</v>
      </c>
      <c r="AL171" s="29">
        <v>10</v>
      </c>
      <c r="AM171" s="30">
        <v>0</v>
      </c>
    </row>
    <row r="172" spans="1:39" s="1" customFormat="1" ht="16.5" customHeight="1">
      <c r="A172" s="31" t="s">
        <v>121</v>
      </c>
      <c r="B172" s="32" t="s">
        <v>122</v>
      </c>
      <c r="C172" s="32">
        <v>18007475</v>
      </c>
      <c r="D172" s="28" t="s">
        <v>67</v>
      </c>
      <c r="E172" s="28" t="s">
        <v>68</v>
      </c>
      <c r="F172" s="28" t="s">
        <v>68</v>
      </c>
      <c r="G172" s="28" t="s">
        <v>68</v>
      </c>
      <c r="H172" s="28" t="s">
        <v>68</v>
      </c>
      <c r="I172" s="28" t="s">
        <v>68</v>
      </c>
      <c r="J172" s="28" t="s">
        <v>68</v>
      </c>
      <c r="K172" s="29">
        <v>0</v>
      </c>
      <c r="L172" s="29">
        <v>0</v>
      </c>
      <c r="M172" s="28" t="s">
        <v>68</v>
      </c>
      <c r="N172" s="28" t="s">
        <v>68</v>
      </c>
      <c r="O172" s="28" t="s">
        <v>68</v>
      </c>
      <c r="P172" s="28" t="s">
        <v>68</v>
      </c>
      <c r="Q172" s="28" t="s">
        <v>68</v>
      </c>
      <c r="R172" s="28" t="s">
        <v>68</v>
      </c>
      <c r="S172" s="28" t="s">
        <v>68</v>
      </c>
      <c r="T172" s="29">
        <v>0</v>
      </c>
      <c r="U172" s="30">
        <v>0</v>
      </c>
      <c r="V172" s="28" t="s">
        <v>68</v>
      </c>
      <c r="W172" s="28" t="s">
        <v>68</v>
      </c>
      <c r="X172" s="28" t="s">
        <v>68</v>
      </c>
      <c r="Y172" s="28" t="s">
        <v>68</v>
      </c>
      <c r="Z172" s="28" t="s">
        <v>68</v>
      </c>
      <c r="AA172" s="28">
        <v>10</v>
      </c>
      <c r="AB172" s="28">
        <v>10</v>
      </c>
      <c r="AC172" s="29">
        <v>4</v>
      </c>
      <c r="AD172" s="30">
        <v>0</v>
      </c>
      <c r="AE172" s="28">
        <v>7</v>
      </c>
      <c r="AF172" s="28">
        <v>7</v>
      </c>
      <c r="AG172" s="28"/>
      <c r="AH172" s="28"/>
      <c r="AI172" s="28">
        <v>10</v>
      </c>
      <c r="AJ172" s="28">
        <v>10</v>
      </c>
      <c r="AK172" s="28">
        <v>7</v>
      </c>
      <c r="AL172" s="29">
        <v>1</v>
      </c>
      <c r="AM172" s="30">
        <v>0</v>
      </c>
    </row>
    <row r="173" spans="1:39" s="1" customFormat="1" ht="16.5" customHeight="1">
      <c r="A173" s="31" t="s">
        <v>273</v>
      </c>
      <c r="B173" s="32" t="s">
        <v>312</v>
      </c>
      <c r="C173" s="32">
        <v>18004372</v>
      </c>
      <c r="D173" s="28">
        <v>7</v>
      </c>
      <c r="E173" s="28">
        <v>10</v>
      </c>
      <c r="F173" s="28">
        <v>10</v>
      </c>
      <c r="G173" s="28"/>
      <c r="H173" s="28"/>
      <c r="I173" s="28">
        <v>7</v>
      </c>
      <c r="J173" s="28">
        <v>7</v>
      </c>
      <c r="K173" s="29">
        <v>-1</v>
      </c>
      <c r="L173" s="29">
        <v>10</v>
      </c>
      <c r="M173" s="28">
        <v>10</v>
      </c>
      <c r="N173" s="28">
        <v>10</v>
      </c>
      <c r="O173" s="28"/>
      <c r="P173" s="28"/>
      <c r="Q173" s="28">
        <v>14</v>
      </c>
      <c r="R173" s="28">
        <v>7</v>
      </c>
      <c r="S173" s="28">
        <v>10</v>
      </c>
      <c r="T173" s="29">
        <v>11</v>
      </c>
      <c r="U173" s="30">
        <v>0</v>
      </c>
      <c r="V173" s="28">
        <v>10</v>
      </c>
      <c r="W173" s="28"/>
      <c r="X173" s="28"/>
      <c r="Y173" s="28">
        <v>7</v>
      </c>
      <c r="Z173" s="28">
        <v>14</v>
      </c>
      <c r="AA173" s="28">
        <v>10</v>
      </c>
      <c r="AB173" s="28">
        <v>10</v>
      </c>
      <c r="AC173" s="29">
        <v>11</v>
      </c>
      <c r="AD173" s="30">
        <v>0</v>
      </c>
      <c r="AE173" s="28"/>
      <c r="AF173" s="28"/>
      <c r="AG173" s="28">
        <v>7</v>
      </c>
      <c r="AH173" s="28">
        <v>7</v>
      </c>
      <c r="AI173" s="28">
        <v>10</v>
      </c>
      <c r="AJ173" s="28">
        <v>10</v>
      </c>
      <c r="AK173" s="28"/>
      <c r="AL173" s="29">
        <v>-6</v>
      </c>
      <c r="AM173" s="30">
        <v>0</v>
      </c>
    </row>
    <row r="174" spans="1:39" s="1" customFormat="1" ht="16.5" customHeight="1">
      <c r="A174" s="31" t="s">
        <v>280</v>
      </c>
      <c r="B174" s="32" t="s">
        <v>309</v>
      </c>
      <c r="C174" s="32">
        <v>18008096</v>
      </c>
      <c r="D174" s="28">
        <v>8</v>
      </c>
      <c r="E174" s="28"/>
      <c r="F174" s="28">
        <v>8</v>
      </c>
      <c r="G174" s="28">
        <v>8</v>
      </c>
      <c r="H174" s="28">
        <v>8</v>
      </c>
      <c r="I174" s="28">
        <v>8</v>
      </c>
      <c r="J174" s="28">
        <v>8</v>
      </c>
      <c r="K174" s="29">
        <v>8</v>
      </c>
      <c r="L174" s="29">
        <v>8</v>
      </c>
      <c r="M174" s="28">
        <v>12</v>
      </c>
      <c r="N174" s="28">
        <v>12</v>
      </c>
      <c r="O174" s="28"/>
      <c r="P174" s="28">
        <v>12</v>
      </c>
      <c r="Q174" s="28">
        <v>12</v>
      </c>
      <c r="R174" s="28">
        <v>12</v>
      </c>
      <c r="S174" s="28">
        <v>12</v>
      </c>
      <c r="T174" s="29">
        <v>32</v>
      </c>
      <c r="U174" s="30">
        <v>0</v>
      </c>
      <c r="V174" s="28"/>
      <c r="W174" s="28">
        <v>12</v>
      </c>
      <c r="X174" s="28">
        <v>12</v>
      </c>
      <c r="Y174" s="28">
        <v>12</v>
      </c>
      <c r="Z174" s="28">
        <v>12</v>
      </c>
      <c r="AA174" s="28">
        <v>12</v>
      </c>
      <c r="AB174" s="28"/>
      <c r="AC174" s="29">
        <v>20</v>
      </c>
      <c r="AD174" s="30">
        <v>0</v>
      </c>
      <c r="AE174" s="28">
        <v>12</v>
      </c>
      <c r="AF174" s="28">
        <v>12</v>
      </c>
      <c r="AG174" s="28">
        <v>12</v>
      </c>
      <c r="AH174" s="28">
        <v>12</v>
      </c>
      <c r="AI174" s="28">
        <v>12</v>
      </c>
      <c r="AJ174" s="28"/>
      <c r="AK174" s="28">
        <v>12</v>
      </c>
      <c r="AL174" s="29">
        <v>32</v>
      </c>
      <c r="AM174" s="30">
        <v>0</v>
      </c>
    </row>
    <row r="175" spans="1:39" s="1" customFormat="1" ht="16.5" customHeight="1">
      <c r="A175" s="31" t="s">
        <v>120</v>
      </c>
      <c r="B175" s="32" t="s">
        <v>311</v>
      </c>
      <c r="C175" s="32">
        <v>18005505</v>
      </c>
      <c r="D175" s="28"/>
      <c r="E175" s="28"/>
      <c r="F175" s="28">
        <v>8</v>
      </c>
      <c r="G175" s="28">
        <v>8</v>
      </c>
      <c r="H175" s="28">
        <v>8</v>
      </c>
      <c r="I175" s="28">
        <v>8</v>
      </c>
      <c r="J175" s="28">
        <v>8</v>
      </c>
      <c r="K175" s="29">
        <v>0</v>
      </c>
      <c r="L175" s="29">
        <v>8</v>
      </c>
      <c r="M175" s="28"/>
      <c r="N175" s="28"/>
      <c r="O175" s="28">
        <v>12</v>
      </c>
      <c r="P175" s="28">
        <v>12</v>
      </c>
      <c r="Q175" s="28">
        <v>12</v>
      </c>
      <c r="R175" s="28">
        <v>12</v>
      </c>
      <c r="S175" s="28">
        <v>12</v>
      </c>
      <c r="T175" s="29">
        <v>20</v>
      </c>
      <c r="U175" s="30">
        <v>0</v>
      </c>
      <c r="V175" s="28"/>
      <c r="W175" s="28">
        <v>12</v>
      </c>
      <c r="X175" s="28">
        <v>12</v>
      </c>
      <c r="Y175" s="28">
        <v>12</v>
      </c>
      <c r="Z175" s="28">
        <v>12</v>
      </c>
      <c r="AA175" s="28">
        <v>12</v>
      </c>
      <c r="AB175" s="28"/>
      <c r="AC175" s="29">
        <v>20</v>
      </c>
      <c r="AD175" s="30">
        <v>0</v>
      </c>
      <c r="AE175" s="28">
        <v>12</v>
      </c>
      <c r="AF175" s="28">
        <v>12</v>
      </c>
      <c r="AG175" s="28">
        <v>12</v>
      </c>
      <c r="AH175" s="28">
        <v>12</v>
      </c>
      <c r="AI175" s="28"/>
      <c r="AJ175" s="28">
        <v>12</v>
      </c>
      <c r="AK175" s="28">
        <v>12</v>
      </c>
      <c r="AL175" s="29">
        <v>32</v>
      </c>
      <c r="AM175" s="30">
        <v>0</v>
      </c>
    </row>
    <row r="176" spans="1:39" s="1" customFormat="1" ht="16.5" customHeight="1">
      <c r="A176" s="31" t="s">
        <v>275</v>
      </c>
      <c r="B176" s="32" t="s">
        <v>311</v>
      </c>
      <c r="C176" s="32">
        <v>18007018</v>
      </c>
      <c r="D176" s="28">
        <v>7</v>
      </c>
      <c r="E176" s="28">
        <v>7</v>
      </c>
      <c r="F176" s="28">
        <v>10</v>
      </c>
      <c r="G176" s="28">
        <v>10</v>
      </c>
      <c r="H176" s="28"/>
      <c r="I176" s="28"/>
      <c r="J176" s="28">
        <v>7</v>
      </c>
      <c r="K176" s="29">
        <v>-1</v>
      </c>
      <c r="L176" s="29">
        <v>10</v>
      </c>
      <c r="M176" s="28">
        <v>7</v>
      </c>
      <c r="N176" s="28"/>
      <c r="O176" s="28">
        <v>8</v>
      </c>
      <c r="P176" s="28">
        <v>8</v>
      </c>
      <c r="Q176" s="28">
        <v>8</v>
      </c>
      <c r="R176" s="28">
        <v>8</v>
      </c>
      <c r="S176" s="28">
        <v>8</v>
      </c>
      <c r="T176" s="29">
        <v>7</v>
      </c>
      <c r="U176" s="30">
        <v>0</v>
      </c>
      <c r="V176" s="28"/>
      <c r="W176" s="28"/>
      <c r="X176" s="28">
        <v>8</v>
      </c>
      <c r="Y176" s="28">
        <v>8</v>
      </c>
      <c r="Z176" s="28">
        <v>8</v>
      </c>
      <c r="AA176" s="28">
        <v>8</v>
      </c>
      <c r="AB176" s="28">
        <v>8</v>
      </c>
      <c r="AC176" s="29">
        <v>0</v>
      </c>
      <c r="AD176" s="30">
        <v>0</v>
      </c>
      <c r="AE176" s="28"/>
      <c r="AF176" s="28"/>
      <c r="AG176" s="28">
        <v>8</v>
      </c>
      <c r="AH176" s="28">
        <v>8</v>
      </c>
      <c r="AI176" s="28">
        <v>8</v>
      </c>
      <c r="AJ176" s="28">
        <v>8</v>
      </c>
      <c r="AK176" s="28">
        <v>8</v>
      </c>
      <c r="AL176" s="29">
        <v>0</v>
      </c>
      <c r="AM176" s="30">
        <v>0</v>
      </c>
    </row>
    <row r="177" spans="1:39" s="1" customFormat="1" ht="16.5" customHeight="1">
      <c r="A177" s="31" t="s">
        <v>283</v>
      </c>
      <c r="B177" s="32" t="s">
        <v>307</v>
      </c>
      <c r="C177" s="32">
        <v>18005155</v>
      </c>
      <c r="D177" s="28">
        <v>8</v>
      </c>
      <c r="E177" s="28" t="s">
        <v>85</v>
      </c>
      <c r="F177" s="28">
        <v>8</v>
      </c>
      <c r="G177" s="28">
        <v>8</v>
      </c>
      <c r="H177" s="28">
        <v>8</v>
      </c>
      <c r="I177" s="28">
        <v>8</v>
      </c>
      <c r="J177" s="28" t="s">
        <v>85</v>
      </c>
      <c r="K177" s="29">
        <v>0</v>
      </c>
      <c r="L177" s="29">
        <v>8</v>
      </c>
      <c r="M177" s="28" t="s">
        <v>85</v>
      </c>
      <c r="N177" s="28">
        <v>8</v>
      </c>
      <c r="O177" s="28">
        <v>8</v>
      </c>
      <c r="P177" s="28">
        <v>8</v>
      </c>
      <c r="Q177" s="28">
        <v>8</v>
      </c>
      <c r="R177" s="28">
        <v>8</v>
      </c>
      <c r="S177" s="28">
        <v>8</v>
      </c>
      <c r="T177" s="29">
        <v>8</v>
      </c>
      <c r="U177" s="30">
        <v>0</v>
      </c>
      <c r="V177" s="28">
        <v>8</v>
      </c>
      <c r="W177" s="28" t="s">
        <v>85</v>
      </c>
      <c r="X177" s="28">
        <v>8</v>
      </c>
      <c r="Y177" s="28">
        <v>10</v>
      </c>
      <c r="Z177" s="28">
        <v>8</v>
      </c>
      <c r="AA177" s="28">
        <v>10</v>
      </c>
      <c r="AB177" s="28">
        <v>10</v>
      </c>
      <c r="AC177" s="29">
        <v>14</v>
      </c>
      <c r="AD177" s="30">
        <v>0</v>
      </c>
      <c r="AE177" s="28">
        <v>8</v>
      </c>
      <c r="AF177" s="28" t="s">
        <v>85</v>
      </c>
      <c r="AG177" s="28">
        <v>8</v>
      </c>
      <c r="AH177" s="28">
        <v>10</v>
      </c>
      <c r="AI177" s="28">
        <v>8</v>
      </c>
      <c r="AJ177" s="28">
        <v>10</v>
      </c>
      <c r="AK177" s="28">
        <v>8</v>
      </c>
      <c r="AL177" s="29">
        <v>12</v>
      </c>
      <c r="AM177" s="30">
        <v>0</v>
      </c>
    </row>
    <row r="178" spans="1:39" s="1" customFormat="1" ht="16.5" customHeight="1">
      <c r="A178" s="31" t="s">
        <v>287</v>
      </c>
      <c r="B178" s="32" t="s">
        <v>307</v>
      </c>
      <c r="C178" s="32">
        <v>18006983</v>
      </c>
      <c r="D178" s="28">
        <v>8</v>
      </c>
      <c r="E178" s="28" t="s">
        <v>85</v>
      </c>
      <c r="F178" s="28">
        <v>8</v>
      </c>
      <c r="G178" s="28">
        <v>8</v>
      </c>
      <c r="H178" s="28">
        <v>8</v>
      </c>
      <c r="I178" s="28">
        <v>8</v>
      </c>
      <c r="J178" s="28">
        <v>8</v>
      </c>
      <c r="K178" s="29">
        <v>8</v>
      </c>
      <c r="L178" s="29">
        <v>8</v>
      </c>
      <c r="M178" s="28">
        <v>8</v>
      </c>
      <c r="N178" s="28" t="s">
        <v>85</v>
      </c>
      <c r="O178" s="28">
        <v>8</v>
      </c>
      <c r="P178" s="28">
        <v>8</v>
      </c>
      <c r="Q178" s="28">
        <v>8</v>
      </c>
      <c r="R178" s="28" t="s">
        <v>85</v>
      </c>
      <c r="S178" s="28">
        <v>8</v>
      </c>
      <c r="T178" s="29">
        <v>0</v>
      </c>
      <c r="U178" s="30">
        <v>0</v>
      </c>
      <c r="V178" s="28" t="s">
        <v>85</v>
      </c>
      <c r="W178" s="28">
        <v>8</v>
      </c>
      <c r="X178" s="28">
        <v>8</v>
      </c>
      <c r="Y178" s="28">
        <v>8</v>
      </c>
      <c r="Z178" s="28">
        <v>10</v>
      </c>
      <c r="AA178" s="28">
        <v>10</v>
      </c>
      <c r="AB178" s="28">
        <v>10</v>
      </c>
      <c r="AC178" s="29">
        <v>14</v>
      </c>
      <c r="AD178" s="30">
        <v>0</v>
      </c>
      <c r="AE178" s="28" t="s">
        <v>85</v>
      </c>
      <c r="AF178" s="28">
        <v>8</v>
      </c>
      <c r="AG178" s="28">
        <v>8</v>
      </c>
      <c r="AH178" s="28">
        <v>8</v>
      </c>
      <c r="AI178" s="28">
        <v>8</v>
      </c>
      <c r="AJ178" s="28">
        <v>8</v>
      </c>
      <c r="AK178" s="28">
        <v>8</v>
      </c>
      <c r="AL178" s="29">
        <v>8</v>
      </c>
      <c r="AM178" s="30">
        <v>0</v>
      </c>
    </row>
    <row r="179" spans="1:39" s="1" customFormat="1" ht="16.5" customHeight="1">
      <c r="A179" s="31" t="s">
        <v>288</v>
      </c>
      <c r="B179" s="32" t="s">
        <v>307</v>
      </c>
      <c r="C179" s="32">
        <v>18004874</v>
      </c>
      <c r="D179" s="28" t="s">
        <v>85</v>
      </c>
      <c r="E179" s="28" t="s">
        <v>85</v>
      </c>
      <c r="F179" s="28">
        <v>10</v>
      </c>
      <c r="G179" s="28">
        <v>10</v>
      </c>
      <c r="H179" s="28" t="s">
        <v>68</v>
      </c>
      <c r="I179" s="28" t="s">
        <v>68</v>
      </c>
      <c r="J179" s="28" t="s">
        <v>68</v>
      </c>
      <c r="K179" s="29">
        <v>2</v>
      </c>
      <c r="L179" s="29">
        <v>10</v>
      </c>
      <c r="M179" s="28" t="s">
        <v>68</v>
      </c>
      <c r="N179" s="28" t="s">
        <v>68</v>
      </c>
      <c r="O179" s="28" t="s">
        <v>68</v>
      </c>
      <c r="P179" s="28" t="s">
        <v>68</v>
      </c>
      <c r="Q179" s="28" t="s">
        <v>68</v>
      </c>
      <c r="R179" s="28" t="s">
        <v>68</v>
      </c>
      <c r="S179" s="28" t="s">
        <v>68</v>
      </c>
      <c r="T179" s="29">
        <v>0</v>
      </c>
      <c r="U179" s="30">
        <v>0</v>
      </c>
      <c r="V179" s="28" t="s">
        <v>85</v>
      </c>
      <c r="W179" s="28" t="s">
        <v>85</v>
      </c>
      <c r="X179" s="28">
        <v>8</v>
      </c>
      <c r="Y179" s="28">
        <v>8</v>
      </c>
      <c r="Z179" s="28">
        <v>8</v>
      </c>
      <c r="AA179" s="28">
        <v>8</v>
      </c>
      <c r="AB179" s="28">
        <v>10</v>
      </c>
      <c r="AC179" s="29">
        <v>2</v>
      </c>
      <c r="AD179" s="30">
        <v>0</v>
      </c>
      <c r="AE179" s="28" t="s">
        <v>85</v>
      </c>
      <c r="AF179" s="28" t="s">
        <v>85</v>
      </c>
      <c r="AG179" s="28">
        <v>8</v>
      </c>
      <c r="AH179" s="28">
        <v>8</v>
      </c>
      <c r="AI179" s="28">
        <v>9</v>
      </c>
      <c r="AJ179" s="28">
        <v>9</v>
      </c>
      <c r="AK179" s="28">
        <v>9</v>
      </c>
      <c r="AL179" s="29">
        <v>3</v>
      </c>
      <c r="AM179" s="30">
        <v>0</v>
      </c>
    </row>
    <row r="180" spans="1:39" s="1" customFormat="1" ht="16.5" customHeight="1">
      <c r="A180" s="31" t="s">
        <v>278</v>
      </c>
      <c r="B180" s="32" t="s">
        <v>310</v>
      </c>
      <c r="C180" s="32">
        <v>18004196</v>
      </c>
      <c r="D180" s="28"/>
      <c r="E180" s="28"/>
      <c r="F180" s="28">
        <v>7</v>
      </c>
      <c r="G180" s="28">
        <v>7</v>
      </c>
      <c r="H180" s="28">
        <v>10</v>
      </c>
      <c r="I180" s="28">
        <v>10</v>
      </c>
      <c r="J180" s="28"/>
      <c r="K180" s="29">
        <v>-5</v>
      </c>
      <c r="L180" s="29">
        <v>7</v>
      </c>
      <c r="M180" s="28">
        <v>7</v>
      </c>
      <c r="N180" s="28">
        <v>7</v>
      </c>
      <c r="O180" s="28">
        <v>12</v>
      </c>
      <c r="P180" s="28">
        <v>12</v>
      </c>
      <c r="Q180" s="28"/>
      <c r="R180" s="28">
        <v>12</v>
      </c>
      <c r="S180" s="28">
        <v>12</v>
      </c>
      <c r="T180" s="29">
        <v>22</v>
      </c>
      <c r="U180" s="30">
        <v>0</v>
      </c>
      <c r="V180" s="28">
        <v>12</v>
      </c>
      <c r="W180" s="28">
        <v>12</v>
      </c>
      <c r="X180" s="28">
        <v>12</v>
      </c>
      <c r="Y180" s="28"/>
      <c r="Z180" s="28">
        <v>12</v>
      </c>
      <c r="AA180" s="28">
        <v>12</v>
      </c>
      <c r="AB180" s="28">
        <v>12</v>
      </c>
      <c r="AC180" s="29">
        <v>32</v>
      </c>
      <c r="AD180" s="30">
        <v>0</v>
      </c>
      <c r="AE180" s="28">
        <v>12</v>
      </c>
      <c r="AF180" s="28">
        <v>12</v>
      </c>
      <c r="AG180" s="28"/>
      <c r="AH180" s="28">
        <v>12</v>
      </c>
      <c r="AI180" s="28">
        <v>12</v>
      </c>
      <c r="AJ180" s="28">
        <v>12</v>
      </c>
      <c r="AK180" s="28">
        <v>12</v>
      </c>
      <c r="AL180" s="29">
        <v>32</v>
      </c>
      <c r="AM180" s="30">
        <v>0</v>
      </c>
    </row>
    <row r="181" spans="1:39" s="1" customFormat="1" ht="16.5" customHeight="1">
      <c r="A181" s="31" t="s">
        <v>277</v>
      </c>
      <c r="B181" s="32" t="s">
        <v>313</v>
      </c>
      <c r="C181" s="32">
        <v>18004273</v>
      </c>
      <c r="D181" s="28">
        <v>7</v>
      </c>
      <c r="E181" s="28">
        <v>7</v>
      </c>
      <c r="F181" s="28">
        <v>10</v>
      </c>
      <c r="G181" s="28">
        <v>10</v>
      </c>
      <c r="H181" s="28"/>
      <c r="I181" s="28"/>
      <c r="J181" s="28">
        <v>7</v>
      </c>
      <c r="K181" s="29">
        <v>-1</v>
      </c>
      <c r="L181" s="29">
        <v>10</v>
      </c>
      <c r="M181" s="28">
        <v>7</v>
      </c>
      <c r="N181" s="28">
        <v>12</v>
      </c>
      <c r="O181" s="28">
        <v>12</v>
      </c>
      <c r="P181" s="28"/>
      <c r="Q181" s="28">
        <v>12</v>
      </c>
      <c r="R181" s="28">
        <v>12</v>
      </c>
      <c r="S181" s="28">
        <v>12</v>
      </c>
      <c r="T181" s="29">
        <v>27</v>
      </c>
      <c r="U181" s="30">
        <v>0</v>
      </c>
      <c r="V181" s="28">
        <v>12</v>
      </c>
      <c r="W181" s="28">
        <v>12</v>
      </c>
      <c r="X181" s="28"/>
      <c r="Y181" s="28">
        <v>12</v>
      </c>
      <c r="Z181" s="28">
        <v>12</v>
      </c>
      <c r="AA181" s="28">
        <v>12</v>
      </c>
      <c r="AB181" s="28">
        <v>12</v>
      </c>
      <c r="AC181" s="29">
        <v>32</v>
      </c>
      <c r="AD181" s="30">
        <v>0</v>
      </c>
      <c r="AE181" s="28">
        <v>12</v>
      </c>
      <c r="AF181" s="28"/>
      <c r="AG181" s="28">
        <v>12</v>
      </c>
      <c r="AH181" s="28">
        <v>12</v>
      </c>
      <c r="AI181" s="28">
        <v>12</v>
      </c>
      <c r="AJ181" s="28">
        <v>12</v>
      </c>
      <c r="AK181" s="28">
        <v>12</v>
      </c>
      <c r="AL181" s="29">
        <v>32</v>
      </c>
      <c r="AM181" s="30">
        <v>0</v>
      </c>
    </row>
    <row r="182" spans="1:39" s="1" customFormat="1" ht="16.5" customHeight="1">
      <c r="A182" s="31" t="s">
        <v>281</v>
      </c>
      <c r="B182" s="32" t="s">
        <v>307</v>
      </c>
      <c r="C182" s="32">
        <v>18005743</v>
      </c>
      <c r="D182" s="28">
        <v>10</v>
      </c>
      <c r="E182" s="28">
        <v>10</v>
      </c>
      <c r="F182" s="28"/>
      <c r="G182" s="28"/>
      <c r="H182" s="28">
        <v>7</v>
      </c>
      <c r="I182" s="28">
        <v>7</v>
      </c>
      <c r="J182" s="28">
        <v>10</v>
      </c>
      <c r="K182" s="29">
        <v>12</v>
      </c>
      <c r="L182" s="29">
        <v>0</v>
      </c>
      <c r="M182" s="28">
        <v>10</v>
      </c>
      <c r="N182" s="28"/>
      <c r="O182" s="28"/>
      <c r="P182" s="28">
        <v>12</v>
      </c>
      <c r="Q182" s="28">
        <v>12</v>
      </c>
      <c r="R182" s="28">
        <v>12</v>
      </c>
      <c r="S182" s="28">
        <v>12</v>
      </c>
      <c r="T182" s="29">
        <v>18</v>
      </c>
      <c r="U182" s="30">
        <v>0</v>
      </c>
      <c r="V182" s="28">
        <v>12</v>
      </c>
      <c r="W182" s="28"/>
      <c r="X182" s="28">
        <v>12</v>
      </c>
      <c r="Y182" s="28">
        <v>12</v>
      </c>
      <c r="Z182" s="28">
        <v>12</v>
      </c>
      <c r="AA182" s="28">
        <v>12</v>
      </c>
      <c r="AB182" s="28">
        <v>12</v>
      </c>
      <c r="AC182" s="29">
        <v>32</v>
      </c>
      <c r="AD182" s="30">
        <v>0</v>
      </c>
      <c r="AE182" s="28"/>
      <c r="AF182" s="28">
        <v>12</v>
      </c>
      <c r="AG182" s="28">
        <v>12</v>
      </c>
      <c r="AH182" s="28">
        <v>12</v>
      </c>
      <c r="AI182" s="28">
        <v>12</v>
      </c>
      <c r="AJ182" s="28">
        <v>12</v>
      </c>
      <c r="AK182" s="28"/>
      <c r="AL182" s="29">
        <v>20</v>
      </c>
      <c r="AM182" s="30">
        <v>0</v>
      </c>
    </row>
    <row r="183" spans="1:39" s="1" customFormat="1" ht="16.5" customHeight="1">
      <c r="A183" s="31" t="s">
        <v>279</v>
      </c>
      <c r="B183" s="32" t="s">
        <v>310</v>
      </c>
      <c r="C183" s="32">
        <v>18008090</v>
      </c>
      <c r="D183" s="28">
        <v>8</v>
      </c>
      <c r="E183" s="28"/>
      <c r="F183" s="28">
        <v>8</v>
      </c>
      <c r="G183" s="28">
        <v>8</v>
      </c>
      <c r="H183" s="28">
        <v>8</v>
      </c>
      <c r="I183" s="28">
        <v>8</v>
      </c>
      <c r="J183" s="28">
        <v>8</v>
      </c>
      <c r="K183" s="29">
        <v>8</v>
      </c>
      <c r="L183" s="29">
        <v>8</v>
      </c>
      <c r="M183" s="28">
        <v>8</v>
      </c>
      <c r="N183" s="28"/>
      <c r="O183" s="28">
        <v>8</v>
      </c>
      <c r="P183" s="28">
        <v>8</v>
      </c>
      <c r="Q183" s="28">
        <v>8</v>
      </c>
      <c r="R183" s="28">
        <v>8</v>
      </c>
      <c r="S183" s="28">
        <v>8</v>
      </c>
      <c r="T183" s="29">
        <v>8</v>
      </c>
      <c r="U183" s="30">
        <v>0</v>
      </c>
      <c r="V183" s="28">
        <v>8</v>
      </c>
      <c r="W183" s="28"/>
      <c r="X183" s="28">
        <v>8</v>
      </c>
      <c r="Y183" s="28">
        <v>12</v>
      </c>
      <c r="Z183" s="28">
        <v>12</v>
      </c>
      <c r="AA183" s="28">
        <v>12</v>
      </c>
      <c r="AB183" s="28"/>
      <c r="AC183" s="29">
        <v>12</v>
      </c>
      <c r="AD183" s="30">
        <v>0</v>
      </c>
      <c r="AE183" s="28">
        <v>12</v>
      </c>
      <c r="AF183" s="28">
        <v>12</v>
      </c>
      <c r="AG183" s="28">
        <v>12</v>
      </c>
      <c r="AH183" s="28">
        <v>12</v>
      </c>
      <c r="AI183" s="28">
        <v>12</v>
      </c>
      <c r="AJ183" s="28"/>
      <c r="AK183" s="28">
        <v>12</v>
      </c>
      <c r="AL183" s="29">
        <v>32</v>
      </c>
      <c r="AM183" s="30">
        <v>0</v>
      </c>
    </row>
    <row r="184" spans="1:39" s="1" customFormat="1" ht="16.5" customHeight="1">
      <c r="A184" s="31" t="s">
        <v>255</v>
      </c>
      <c r="B184" s="32" t="s">
        <v>306</v>
      </c>
      <c r="C184" s="32">
        <v>18004138</v>
      </c>
      <c r="D184" s="28">
        <v>0</v>
      </c>
      <c r="E184" s="28">
        <v>7</v>
      </c>
      <c r="F184" s="28">
        <v>7</v>
      </c>
      <c r="G184" s="28">
        <v>7</v>
      </c>
      <c r="H184" s="28">
        <v>7</v>
      </c>
      <c r="I184" s="28">
        <v>10</v>
      </c>
      <c r="J184" s="28">
        <v>10</v>
      </c>
      <c r="K184" s="29">
        <v>9</v>
      </c>
      <c r="L184" s="29">
        <v>7</v>
      </c>
      <c r="M184" s="28">
        <v>0</v>
      </c>
      <c r="N184" s="28">
        <v>0</v>
      </c>
      <c r="O184" s="28">
        <v>7</v>
      </c>
      <c r="P184" s="28">
        <v>7</v>
      </c>
      <c r="Q184" s="28">
        <v>7</v>
      </c>
      <c r="R184" s="28">
        <v>7</v>
      </c>
      <c r="S184" s="28">
        <v>10</v>
      </c>
      <c r="T184" s="29">
        <v>-2</v>
      </c>
      <c r="U184" s="30">
        <v>0</v>
      </c>
      <c r="V184" s="28">
        <v>10</v>
      </c>
      <c r="W184" s="28">
        <v>0</v>
      </c>
      <c r="X184" s="28">
        <v>0</v>
      </c>
      <c r="Y184" s="28">
        <v>7</v>
      </c>
      <c r="Z184" s="28">
        <v>7</v>
      </c>
      <c r="AA184" s="28">
        <v>7</v>
      </c>
      <c r="AB184" s="28">
        <v>7</v>
      </c>
      <c r="AC184" s="29">
        <v>-2</v>
      </c>
      <c r="AD184" s="30">
        <v>0</v>
      </c>
      <c r="AE184" s="28">
        <v>10</v>
      </c>
      <c r="AF184" s="28">
        <v>10</v>
      </c>
      <c r="AG184" s="28">
        <v>0</v>
      </c>
      <c r="AH184" s="28">
        <v>0</v>
      </c>
      <c r="AI184" s="28">
        <v>7</v>
      </c>
      <c r="AJ184" s="28">
        <v>7</v>
      </c>
      <c r="AK184" s="28">
        <v>7</v>
      </c>
      <c r="AL184" s="29">
        <v>1</v>
      </c>
      <c r="AM184" s="30">
        <v>0</v>
      </c>
    </row>
    <row r="185" spans="1:39" s="1" customFormat="1" ht="16.5" customHeight="1">
      <c r="A185" s="31" t="s">
        <v>262</v>
      </c>
      <c r="B185" s="32" t="s">
        <v>306</v>
      </c>
      <c r="C185" s="32">
        <v>18004278</v>
      </c>
      <c r="D185" s="28">
        <v>0</v>
      </c>
      <c r="E185" s="28">
        <v>0</v>
      </c>
      <c r="F185" s="28">
        <v>7</v>
      </c>
      <c r="G185" s="28">
        <v>7</v>
      </c>
      <c r="H185" s="28">
        <v>7</v>
      </c>
      <c r="I185" s="28">
        <v>10</v>
      </c>
      <c r="J185" s="28">
        <v>10</v>
      </c>
      <c r="K185" s="29">
        <v>2</v>
      </c>
      <c r="L185" s="29">
        <v>7</v>
      </c>
      <c r="M185" s="28">
        <v>0</v>
      </c>
      <c r="N185" s="28">
        <v>0</v>
      </c>
      <c r="O185" s="28">
        <v>7</v>
      </c>
      <c r="P185" s="28">
        <v>7</v>
      </c>
      <c r="Q185" s="28">
        <v>7</v>
      </c>
      <c r="R185" s="28">
        <v>7</v>
      </c>
      <c r="S185" s="28">
        <v>10</v>
      </c>
      <c r="T185" s="29">
        <v>-2</v>
      </c>
      <c r="U185" s="30">
        <v>0</v>
      </c>
      <c r="V185" s="28">
        <v>10</v>
      </c>
      <c r="W185" s="28">
        <v>0</v>
      </c>
      <c r="X185" s="28">
        <v>0</v>
      </c>
      <c r="Y185" s="28">
        <v>7</v>
      </c>
      <c r="Z185" s="28">
        <v>7</v>
      </c>
      <c r="AA185" s="28">
        <v>7</v>
      </c>
      <c r="AB185" s="28">
        <v>7</v>
      </c>
      <c r="AC185" s="29">
        <v>-2</v>
      </c>
      <c r="AD185" s="30">
        <v>0</v>
      </c>
      <c r="AE185" s="28">
        <v>10</v>
      </c>
      <c r="AF185" s="28">
        <v>10</v>
      </c>
      <c r="AG185" s="28">
        <v>0</v>
      </c>
      <c r="AH185" s="28">
        <v>0</v>
      </c>
      <c r="AI185" s="28">
        <v>7</v>
      </c>
      <c r="AJ185" s="28">
        <v>7</v>
      </c>
      <c r="AK185" s="28">
        <v>7</v>
      </c>
      <c r="AL185" s="29">
        <v>1</v>
      </c>
      <c r="AM185" s="30">
        <v>0</v>
      </c>
    </row>
    <row r="186" spans="1:39" s="1" customFormat="1" ht="16.5" customHeight="1">
      <c r="A186" s="31" t="s">
        <v>265</v>
      </c>
      <c r="B186" s="32" t="s">
        <v>305</v>
      </c>
      <c r="C186" s="32">
        <v>18007361</v>
      </c>
      <c r="D186" s="28">
        <v>7</v>
      </c>
      <c r="E186" s="28">
        <v>10</v>
      </c>
      <c r="F186" s="28">
        <v>10</v>
      </c>
      <c r="G186" s="28">
        <v>0</v>
      </c>
      <c r="H186" s="28">
        <v>0</v>
      </c>
      <c r="I186" s="28">
        <v>7</v>
      </c>
      <c r="J186" s="28">
        <v>7</v>
      </c>
      <c r="K186" s="29">
        <v>-1</v>
      </c>
      <c r="L186" s="29">
        <v>10</v>
      </c>
      <c r="M186" s="28">
        <v>7</v>
      </c>
      <c r="N186" s="28">
        <v>7</v>
      </c>
      <c r="O186" s="28">
        <v>10</v>
      </c>
      <c r="P186" s="28">
        <v>10</v>
      </c>
      <c r="Q186" s="28">
        <v>0</v>
      </c>
      <c r="R186" s="28">
        <v>0</v>
      </c>
      <c r="S186" s="28">
        <v>7</v>
      </c>
      <c r="T186" s="29">
        <v>1</v>
      </c>
      <c r="U186" s="30">
        <v>0</v>
      </c>
      <c r="V186" s="28">
        <v>7</v>
      </c>
      <c r="W186" s="28">
        <v>7</v>
      </c>
      <c r="X186" s="28">
        <v>7</v>
      </c>
      <c r="Y186" s="28">
        <v>10</v>
      </c>
      <c r="Z186" s="28">
        <v>10</v>
      </c>
      <c r="AA186" s="28">
        <v>0</v>
      </c>
      <c r="AB186" s="28">
        <v>0</v>
      </c>
      <c r="AC186" s="29">
        <v>1</v>
      </c>
      <c r="AD186" s="30">
        <v>0</v>
      </c>
      <c r="AE186" s="28">
        <v>7</v>
      </c>
      <c r="AF186" s="28">
        <v>7</v>
      </c>
      <c r="AG186" s="28">
        <v>7</v>
      </c>
      <c r="AH186" s="28">
        <v>7</v>
      </c>
      <c r="AI186" s="28">
        <v>10</v>
      </c>
      <c r="AJ186" s="28">
        <v>10</v>
      </c>
      <c r="AK186" s="28">
        <v>0</v>
      </c>
      <c r="AL186" s="29">
        <v>8</v>
      </c>
      <c r="AM186" s="30">
        <v>0</v>
      </c>
    </row>
    <row r="187" spans="1:39" s="1" customFormat="1" ht="16.5" customHeight="1">
      <c r="A187" s="31" t="s">
        <v>251</v>
      </c>
      <c r="B187" s="32" t="s">
        <v>306</v>
      </c>
      <c r="C187" s="32">
        <v>18006100</v>
      </c>
      <c r="D187" s="28">
        <v>7</v>
      </c>
      <c r="E187" s="28">
        <v>10</v>
      </c>
      <c r="F187" s="28">
        <v>10</v>
      </c>
      <c r="G187" s="28">
        <v>0</v>
      </c>
      <c r="H187" s="28">
        <v>0</v>
      </c>
      <c r="I187" s="28">
        <v>7</v>
      </c>
      <c r="J187" s="28">
        <v>7</v>
      </c>
      <c r="K187" s="29">
        <v>-1</v>
      </c>
      <c r="L187" s="29">
        <v>10</v>
      </c>
      <c r="M187" s="28">
        <v>7</v>
      </c>
      <c r="N187" s="28">
        <v>7</v>
      </c>
      <c r="O187" s="28">
        <v>10</v>
      </c>
      <c r="P187" s="28">
        <v>10</v>
      </c>
      <c r="Q187" s="28">
        <v>0</v>
      </c>
      <c r="R187" s="28">
        <v>0</v>
      </c>
      <c r="S187" s="28">
        <v>7</v>
      </c>
      <c r="T187" s="29">
        <v>1</v>
      </c>
      <c r="U187" s="30">
        <v>0</v>
      </c>
      <c r="V187" s="28">
        <v>7</v>
      </c>
      <c r="W187" s="28">
        <v>7</v>
      </c>
      <c r="X187" s="28">
        <v>7</v>
      </c>
      <c r="Y187" s="28">
        <v>10</v>
      </c>
      <c r="Z187" s="28">
        <v>10</v>
      </c>
      <c r="AA187" s="28">
        <v>0</v>
      </c>
      <c r="AB187" s="28">
        <v>0</v>
      </c>
      <c r="AC187" s="29">
        <v>1</v>
      </c>
      <c r="AD187" s="30">
        <v>0</v>
      </c>
      <c r="AE187" s="28">
        <v>7</v>
      </c>
      <c r="AF187" s="28">
        <v>7</v>
      </c>
      <c r="AG187" s="28">
        <v>7</v>
      </c>
      <c r="AH187" s="28">
        <v>7</v>
      </c>
      <c r="AI187" s="28">
        <v>10</v>
      </c>
      <c r="AJ187" s="28">
        <v>10</v>
      </c>
      <c r="AK187" s="28">
        <v>0</v>
      </c>
      <c r="AL187" s="29">
        <v>8</v>
      </c>
      <c r="AM187" s="30">
        <v>0</v>
      </c>
    </row>
    <row r="188" spans="1:39" s="1" customFormat="1" ht="16.5" customHeight="1">
      <c r="A188" s="31" t="s">
        <v>253</v>
      </c>
      <c r="B188" s="32" t="s">
        <v>306</v>
      </c>
      <c r="C188" s="32">
        <v>18007360</v>
      </c>
      <c r="D188" s="28">
        <v>0</v>
      </c>
      <c r="E188" s="28">
        <v>7</v>
      </c>
      <c r="F188" s="28">
        <v>7</v>
      </c>
      <c r="G188" s="28">
        <v>7</v>
      </c>
      <c r="H188" s="28">
        <v>7</v>
      </c>
      <c r="I188" s="28">
        <v>10</v>
      </c>
      <c r="J188" s="28">
        <v>10</v>
      </c>
      <c r="K188" s="29">
        <v>9</v>
      </c>
      <c r="L188" s="29">
        <v>7</v>
      </c>
      <c r="M188" s="28">
        <v>0</v>
      </c>
      <c r="N188" s="28">
        <v>0</v>
      </c>
      <c r="O188" s="28">
        <v>7</v>
      </c>
      <c r="P188" s="28">
        <v>7</v>
      </c>
      <c r="Q188" s="28">
        <v>7</v>
      </c>
      <c r="R188" s="28">
        <v>7</v>
      </c>
      <c r="S188" s="28">
        <v>10</v>
      </c>
      <c r="T188" s="29">
        <v>-2</v>
      </c>
      <c r="U188" s="30">
        <v>0</v>
      </c>
      <c r="V188" s="28">
        <v>10</v>
      </c>
      <c r="W188" s="28">
        <v>0</v>
      </c>
      <c r="X188" s="28">
        <v>0</v>
      </c>
      <c r="Y188" s="28">
        <v>7</v>
      </c>
      <c r="Z188" s="28">
        <v>7</v>
      </c>
      <c r="AA188" s="28">
        <v>7</v>
      </c>
      <c r="AB188" s="28">
        <v>7</v>
      </c>
      <c r="AC188" s="29">
        <v>-2</v>
      </c>
      <c r="AD188" s="30">
        <v>0</v>
      </c>
      <c r="AE188" s="28">
        <v>10</v>
      </c>
      <c r="AF188" s="28">
        <v>10</v>
      </c>
      <c r="AG188" s="28">
        <v>0</v>
      </c>
      <c r="AH188" s="28">
        <v>0</v>
      </c>
      <c r="AI188" s="28">
        <v>7</v>
      </c>
      <c r="AJ188" s="28">
        <v>7</v>
      </c>
      <c r="AK188" s="28">
        <v>7</v>
      </c>
      <c r="AL188" s="29">
        <v>1</v>
      </c>
      <c r="AM188" s="30">
        <v>0</v>
      </c>
    </row>
    <row r="189" spans="1:39" s="1" customFormat="1" ht="16.5" customHeight="1">
      <c r="A189" s="31" t="s">
        <v>254</v>
      </c>
      <c r="B189" s="32" t="s">
        <v>306</v>
      </c>
      <c r="C189" s="32">
        <v>18007366</v>
      </c>
      <c r="D189" s="28">
        <v>10</v>
      </c>
      <c r="E189" s="28">
        <v>0</v>
      </c>
      <c r="F189" s="28">
        <v>0</v>
      </c>
      <c r="G189" s="28">
        <v>7</v>
      </c>
      <c r="H189" s="28">
        <v>7</v>
      </c>
      <c r="I189" s="28">
        <v>7</v>
      </c>
      <c r="J189" s="28">
        <v>7</v>
      </c>
      <c r="K189" s="29">
        <v>6</v>
      </c>
      <c r="L189" s="29">
        <v>0</v>
      </c>
      <c r="M189" s="28">
        <v>10</v>
      </c>
      <c r="N189" s="28">
        <v>10</v>
      </c>
      <c r="O189" s="28">
        <v>0</v>
      </c>
      <c r="P189" s="28">
        <v>0</v>
      </c>
      <c r="Q189" s="28">
        <v>7</v>
      </c>
      <c r="R189" s="28">
        <v>7</v>
      </c>
      <c r="S189" s="28">
        <v>7</v>
      </c>
      <c r="T189" s="29">
        <v>1</v>
      </c>
      <c r="U189" s="30">
        <v>0</v>
      </c>
      <c r="V189" s="28">
        <v>7</v>
      </c>
      <c r="W189" s="28">
        <v>10</v>
      </c>
      <c r="X189" s="28">
        <v>10</v>
      </c>
      <c r="Y189" s="28">
        <v>0</v>
      </c>
      <c r="Z189" s="28">
        <v>0</v>
      </c>
      <c r="AA189" s="28" t="s">
        <v>101</v>
      </c>
      <c r="AB189" s="28" t="s">
        <v>101</v>
      </c>
      <c r="AC189" s="29">
        <v>3</v>
      </c>
      <c r="AD189" s="30">
        <v>0</v>
      </c>
      <c r="AE189" s="28" t="s">
        <v>101</v>
      </c>
      <c r="AF189" s="28" t="s">
        <v>101</v>
      </c>
      <c r="AG189" s="28" t="s">
        <v>101</v>
      </c>
      <c r="AH189" s="28" t="s">
        <v>101</v>
      </c>
      <c r="AI189" s="28" t="s">
        <v>101</v>
      </c>
      <c r="AJ189" s="28">
        <v>7</v>
      </c>
      <c r="AK189" s="28">
        <v>7</v>
      </c>
      <c r="AL189" s="29">
        <v>-2</v>
      </c>
      <c r="AM189" s="30">
        <v>0</v>
      </c>
    </row>
    <row r="190" spans="1:39" s="1" customFormat="1" ht="16.5" customHeight="1">
      <c r="A190" s="31" t="s">
        <v>250</v>
      </c>
      <c r="B190" s="32" t="s">
        <v>306</v>
      </c>
      <c r="C190" s="32">
        <v>18006036</v>
      </c>
      <c r="D190" s="28">
        <v>10</v>
      </c>
      <c r="E190" s="28">
        <v>0</v>
      </c>
      <c r="F190" s="28">
        <v>0</v>
      </c>
      <c r="G190" s="28">
        <v>7</v>
      </c>
      <c r="H190" s="28">
        <v>7</v>
      </c>
      <c r="I190" s="28">
        <v>7</v>
      </c>
      <c r="J190" s="28">
        <v>7</v>
      </c>
      <c r="K190" s="29">
        <v>6</v>
      </c>
      <c r="L190" s="29">
        <v>0</v>
      </c>
      <c r="M190" s="28">
        <v>10</v>
      </c>
      <c r="N190" s="28">
        <v>10</v>
      </c>
      <c r="O190" s="28">
        <v>0</v>
      </c>
      <c r="P190" s="28">
        <v>0</v>
      </c>
      <c r="Q190" s="28">
        <v>7</v>
      </c>
      <c r="R190" s="28">
        <v>7</v>
      </c>
      <c r="S190" s="28">
        <v>7</v>
      </c>
      <c r="T190" s="29">
        <v>1</v>
      </c>
      <c r="U190" s="30">
        <v>0</v>
      </c>
      <c r="V190" s="28">
        <v>7</v>
      </c>
      <c r="W190" s="28">
        <v>10</v>
      </c>
      <c r="X190" s="28">
        <v>10</v>
      </c>
      <c r="Y190" s="28">
        <v>0</v>
      </c>
      <c r="Z190" s="28">
        <v>0</v>
      </c>
      <c r="AA190" s="28">
        <v>7</v>
      </c>
      <c r="AB190" s="28">
        <v>7</v>
      </c>
      <c r="AC190" s="29">
        <v>1</v>
      </c>
      <c r="AD190" s="30">
        <v>0</v>
      </c>
      <c r="AE190" s="28">
        <v>7</v>
      </c>
      <c r="AF190" s="28">
        <v>7</v>
      </c>
      <c r="AG190" s="28">
        <v>10</v>
      </c>
      <c r="AH190" s="28">
        <v>10</v>
      </c>
      <c r="AI190" s="28">
        <v>0</v>
      </c>
      <c r="AJ190" s="28">
        <v>0</v>
      </c>
      <c r="AK190" s="28">
        <v>7</v>
      </c>
      <c r="AL190" s="29">
        <v>1</v>
      </c>
      <c r="AM190" s="30">
        <v>0</v>
      </c>
    </row>
    <row r="191" spans="1:39" s="1" customFormat="1" ht="16.5" customHeight="1">
      <c r="A191" s="31" t="s">
        <v>256</v>
      </c>
      <c r="B191" s="32" t="s">
        <v>306</v>
      </c>
      <c r="C191" s="32">
        <v>18006035</v>
      </c>
      <c r="D191" s="28">
        <v>7</v>
      </c>
      <c r="E191" s="28">
        <v>7</v>
      </c>
      <c r="F191" s="28">
        <v>7</v>
      </c>
      <c r="G191" s="28">
        <v>10</v>
      </c>
      <c r="H191" s="28">
        <v>10</v>
      </c>
      <c r="I191" s="28">
        <v>0</v>
      </c>
      <c r="J191" s="28">
        <v>0</v>
      </c>
      <c r="K191" s="29">
        <v>2</v>
      </c>
      <c r="L191" s="29">
        <v>7</v>
      </c>
      <c r="M191" s="28">
        <v>7</v>
      </c>
      <c r="N191" s="28">
        <v>7</v>
      </c>
      <c r="O191" s="28">
        <v>7</v>
      </c>
      <c r="P191" s="28">
        <v>7</v>
      </c>
      <c r="Q191" s="28">
        <v>10</v>
      </c>
      <c r="R191" s="28">
        <v>10</v>
      </c>
      <c r="S191" s="28">
        <v>0</v>
      </c>
      <c r="T191" s="29">
        <v>8</v>
      </c>
      <c r="U191" s="30">
        <v>0</v>
      </c>
      <c r="V191" s="28">
        <v>0</v>
      </c>
      <c r="W191" s="28">
        <v>7</v>
      </c>
      <c r="X191" s="28">
        <v>7</v>
      </c>
      <c r="Y191" s="28">
        <v>7</v>
      </c>
      <c r="Z191" s="28">
        <v>7</v>
      </c>
      <c r="AA191" s="28">
        <v>10</v>
      </c>
      <c r="AB191" s="28">
        <v>10</v>
      </c>
      <c r="AC191" s="29">
        <v>8</v>
      </c>
      <c r="AD191" s="30">
        <v>0</v>
      </c>
      <c r="AE191" s="28">
        <v>0</v>
      </c>
      <c r="AF191" s="28">
        <v>0</v>
      </c>
      <c r="AG191" s="28">
        <v>7</v>
      </c>
      <c r="AH191" s="28">
        <v>7</v>
      </c>
      <c r="AI191" s="28">
        <v>7</v>
      </c>
      <c r="AJ191" s="28">
        <v>7</v>
      </c>
      <c r="AK191" s="28">
        <v>10</v>
      </c>
      <c r="AL191" s="29">
        <v>-2</v>
      </c>
      <c r="AM191" s="30">
        <v>0</v>
      </c>
    </row>
    <row r="192" spans="1:39" s="1" customFormat="1" ht="16.5" customHeight="1">
      <c r="A192" s="31" t="s">
        <v>257</v>
      </c>
      <c r="B192" s="32" t="s">
        <v>306</v>
      </c>
      <c r="C192" s="32">
        <v>18004306</v>
      </c>
      <c r="D192" s="28" t="s">
        <v>81</v>
      </c>
      <c r="E192" s="28" t="s">
        <v>81</v>
      </c>
      <c r="F192" s="28" t="s">
        <v>81</v>
      </c>
      <c r="G192" s="28" t="s">
        <v>81</v>
      </c>
      <c r="H192" s="28" t="s">
        <v>81</v>
      </c>
      <c r="I192" s="28" t="s">
        <v>81</v>
      </c>
      <c r="J192" s="28" t="s">
        <v>81</v>
      </c>
      <c r="K192" s="29">
        <v>0</v>
      </c>
      <c r="L192" s="29">
        <v>0</v>
      </c>
      <c r="M192" s="28" t="s">
        <v>81</v>
      </c>
      <c r="N192" s="28" t="s">
        <v>81</v>
      </c>
      <c r="O192" s="28" t="s">
        <v>81</v>
      </c>
      <c r="P192" s="28" t="s">
        <v>81</v>
      </c>
      <c r="Q192" s="28" t="s">
        <v>81</v>
      </c>
      <c r="R192" s="28" t="s">
        <v>81</v>
      </c>
      <c r="S192" s="28" t="s">
        <v>81</v>
      </c>
      <c r="T192" s="29">
        <v>0</v>
      </c>
      <c r="U192" s="30">
        <v>0</v>
      </c>
      <c r="V192" s="28" t="s">
        <v>81</v>
      </c>
      <c r="W192" s="28" t="s">
        <v>81</v>
      </c>
      <c r="X192" s="28" t="s">
        <v>81</v>
      </c>
      <c r="Y192" s="28" t="s">
        <v>81</v>
      </c>
      <c r="Z192" s="28" t="s">
        <v>81</v>
      </c>
      <c r="AA192" s="28" t="s">
        <v>81</v>
      </c>
      <c r="AB192" s="28" t="s">
        <v>81</v>
      </c>
      <c r="AC192" s="29">
        <v>0</v>
      </c>
      <c r="AD192" s="30">
        <v>0</v>
      </c>
      <c r="AE192" s="28" t="s">
        <v>81</v>
      </c>
      <c r="AF192" s="28" t="s">
        <v>81</v>
      </c>
      <c r="AG192" s="28" t="s">
        <v>81</v>
      </c>
      <c r="AH192" s="28" t="s">
        <v>81</v>
      </c>
      <c r="AI192" s="28" t="s">
        <v>81</v>
      </c>
      <c r="AJ192" s="28" t="s">
        <v>81</v>
      </c>
      <c r="AK192" s="28" t="s">
        <v>81</v>
      </c>
      <c r="AL192" s="29">
        <v>0</v>
      </c>
      <c r="AM192" s="30">
        <v>0</v>
      </c>
    </row>
    <row r="193" spans="1:39" s="1" customFormat="1" ht="16.5" customHeight="1">
      <c r="A193" s="31" t="s">
        <v>323</v>
      </c>
      <c r="B193" s="32" t="s">
        <v>306</v>
      </c>
      <c r="C193" s="32">
        <v>18008464</v>
      </c>
      <c r="D193" s="28">
        <v>7</v>
      </c>
      <c r="E193" s="28">
        <v>7</v>
      </c>
      <c r="F193" s="28">
        <v>7</v>
      </c>
      <c r="G193" s="28">
        <v>10</v>
      </c>
      <c r="H193" s="28">
        <v>10</v>
      </c>
      <c r="I193" s="28">
        <v>0</v>
      </c>
      <c r="J193" s="28">
        <v>0</v>
      </c>
      <c r="K193" s="29">
        <v>2</v>
      </c>
      <c r="L193" s="29">
        <v>7</v>
      </c>
      <c r="M193" s="28">
        <v>7</v>
      </c>
      <c r="N193" s="28">
        <v>7</v>
      </c>
      <c r="O193" s="28">
        <v>7</v>
      </c>
      <c r="P193" s="28">
        <v>7</v>
      </c>
      <c r="Q193" s="28">
        <v>10</v>
      </c>
      <c r="R193" s="28">
        <v>10</v>
      </c>
      <c r="S193" s="28">
        <v>0</v>
      </c>
      <c r="T193" s="29">
        <v>8</v>
      </c>
      <c r="U193" s="30">
        <v>0</v>
      </c>
      <c r="V193" s="28">
        <v>0</v>
      </c>
      <c r="W193" s="28">
        <v>7</v>
      </c>
      <c r="X193" s="28">
        <v>7</v>
      </c>
      <c r="Y193" s="28">
        <v>7</v>
      </c>
      <c r="Z193" s="28">
        <v>7</v>
      </c>
      <c r="AA193" s="28">
        <v>10</v>
      </c>
      <c r="AB193" s="28">
        <v>10</v>
      </c>
      <c r="AC193" s="29">
        <v>8</v>
      </c>
      <c r="AD193" s="30">
        <v>0</v>
      </c>
      <c r="AE193" s="28">
        <v>0</v>
      </c>
      <c r="AF193" s="28">
        <v>0</v>
      </c>
      <c r="AG193" s="28">
        <v>7</v>
      </c>
      <c r="AH193" s="28">
        <v>7</v>
      </c>
      <c r="AI193" s="28">
        <v>7</v>
      </c>
      <c r="AJ193" s="28">
        <v>7</v>
      </c>
      <c r="AK193" s="28">
        <v>10</v>
      </c>
      <c r="AL193" s="29">
        <v>-2</v>
      </c>
      <c r="AM193" s="30">
        <v>0</v>
      </c>
    </row>
    <row r="194" spans="1:39" s="1" customFormat="1" ht="16.5" customHeight="1">
      <c r="A194" s="31" t="s">
        <v>264</v>
      </c>
      <c r="B194" s="32" t="s">
        <v>305</v>
      </c>
      <c r="C194" s="32">
        <v>18007354</v>
      </c>
      <c r="D194" s="28" t="s">
        <v>83</v>
      </c>
      <c r="E194" s="28" t="s">
        <v>83</v>
      </c>
      <c r="F194" s="28" t="s">
        <v>83</v>
      </c>
      <c r="G194" s="28" t="s">
        <v>83</v>
      </c>
      <c r="H194" s="28" t="s">
        <v>83</v>
      </c>
      <c r="I194" s="28" t="s">
        <v>83</v>
      </c>
      <c r="J194" s="28" t="s">
        <v>83</v>
      </c>
      <c r="K194" s="29">
        <v>-32</v>
      </c>
      <c r="L194" s="29">
        <v>0</v>
      </c>
      <c r="M194" s="28" t="s">
        <v>83</v>
      </c>
      <c r="N194" s="28" t="s">
        <v>83</v>
      </c>
      <c r="O194" s="28" t="s">
        <v>83</v>
      </c>
      <c r="P194" s="28" t="s">
        <v>83</v>
      </c>
      <c r="Q194" s="28" t="s">
        <v>83</v>
      </c>
      <c r="R194" s="28" t="s">
        <v>83</v>
      </c>
      <c r="S194" s="28" t="s">
        <v>83</v>
      </c>
      <c r="T194" s="29">
        <v>-40</v>
      </c>
      <c r="U194" s="30">
        <v>0</v>
      </c>
      <c r="V194" s="28" t="s">
        <v>83</v>
      </c>
      <c r="W194" s="28" t="s">
        <v>83</v>
      </c>
      <c r="X194" s="28" t="s">
        <v>83</v>
      </c>
      <c r="Y194" s="28" t="s">
        <v>83</v>
      </c>
      <c r="Z194" s="28" t="s">
        <v>83</v>
      </c>
      <c r="AA194" s="28" t="s">
        <v>83</v>
      </c>
      <c r="AB194" s="28" t="s">
        <v>83</v>
      </c>
      <c r="AC194" s="29">
        <v>-40</v>
      </c>
      <c r="AD194" s="30">
        <v>0</v>
      </c>
      <c r="AE194" s="28" t="s">
        <v>83</v>
      </c>
      <c r="AF194" s="28" t="s">
        <v>83</v>
      </c>
      <c r="AG194" s="28" t="s">
        <v>83</v>
      </c>
      <c r="AH194" s="28" t="s">
        <v>83</v>
      </c>
      <c r="AI194" s="28" t="s">
        <v>83</v>
      </c>
      <c r="AJ194" s="28" t="s">
        <v>83</v>
      </c>
      <c r="AK194" s="28" t="s">
        <v>83</v>
      </c>
      <c r="AL194" s="29">
        <v>-40</v>
      </c>
      <c r="AM194" s="30">
        <v>0</v>
      </c>
    </row>
    <row r="195" spans="1:39" s="1" customFormat="1" ht="16.5" customHeight="1">
      <c r="A195" s="31" t="s">
        <v>260</v>
      </c>
      <c r="B195" s="32" t="s">
        <v>305</v>
      </c>
      <c r="C195" s="32">
        <v>18007370</v>
      </c>
      <c r="D195" s="28" t="s">
        <v>68</v>
      </c>
      <c r="E195" s="28" t="s">
        <v>68</v>
      </c>
      <c r="F195" s="28" t="s">
        <v>68</v>
      </c>
      <c r="G195" s="28" t="s">
        <v>68</v>
      </c>
      <c r="H195" s="28" t="s">
        <v>68</v>
      </c>
      <c r="I195" s="28" t="s">
        <v>68</v>
      </c>
      <c r="J195" s="28">
        <v>9</v>
      </c>
      <c r="K195" s="29">
        <v>1</v>
      </c>
      <c r="L195" s="29">
        <v>0</v>
      </c>
      <c r="M195" s="28">
        <v>8</v>
      </c>
      <c r="N195" s="28">
        <v>0</v>
      </c>
      <c r="O195" s="28">
        <v>11</v>
      </c>
      <c r="P195" s="28">
        <v>9</v>
      </c>
      <c r="Q195" s="28">
        <v>9</v>
      </c>
      <c r="R195" s="28">
        <v>9</v>
      </c>
      <c r="S195" s="28">
        <v>9</v>
      </c>
      <c r="T195" s="29">
        <v>15</v>
      </c>
      <c r="U195" s="30">
        <v>0</v>
      </c>
      <c r="V195" s="28">
        <v>8</v>
      </c>
      <c r="W195" s="28">
        <v>0</v>
      </c>
      <c r="X195" s="28">
        <v>8</v>
      </c>
      <c r="Y195" s="28" t="s">
        <v>76</v>
      </c>
      <c r="Z195" s="28">
        <v>8</v>
      </c>
      <c r="AA195" s="28">
        <v>8</v>
      </c>
      <c r="AB195" s="28">
        <v>9</v>
      </c>
      <c r="AC195" s="29">
        <v>9</v>
      </c>
      <c r="AD195" s="30">
        <v>0</v>
      </c>
      <c r="AE195" s="28">
        <v>0</v>
      </c>
      <c r="AF195" s="28">
        <v>0</v>
      </c>
      <c r="AG195" s="28">
        <v>8</v>
      </c>
      <c r="AH195" s="28">
        <v>8</v>
      </c>
      <c r="AI195" s="28">
        <v>8</v>
      </c>
      <c r="AJ195" s="28">
        <v>8</v>
      </c>
      <c r="AK195" s="28">
        <v>8</v>
      </c>
      <c r="AL195" s="29">
        <v>0</v>
      </c>
      <c r="AM195" s="30">
        <v>0</v>
      </c>
    </row>
    <row r="196" spans="1:39" s="1" customFormat="1" ht="16.5" customHeight="1">
      <c r="A196" s="31" t="s">
        <v>261</v>
      </c>
      <c r="B196" s="32" t="s">
        <v>305</v>
      </c>
      <c r="C196" s="32">
        <v>18007362</v>
      </c>
      <c r="D196" s="28">
        <v>8</v>
      </c>
      <c r="E196" s="28">
        <v>0</v>
      </c>
      <c r="F196" s="28">
        <v>8</v>
      </c>
      <c r="G196" s="28">
        <v>8</v>
      </c>
      <c r="H196" s="28">
        <v>8</v>
      </c>
      <c r="I196" s="28">
        <v>8</v>
      </c>
      <c r="J196" s="28">
        <v>8</v>
      </c>
      <c r="K196" s="29">
        <v>8</v>
      </c>
      <c r="L196" s="29">
        <v>8</v>
      </c>
      <c r="M196" s="28">
        <v>7</v>
      </c>
      <c r="N196" s="28">
        <v>10</v>
      </c>
      <c r="O196" s="28">
        <v>10</v>
      </c>
      <c r="P196" s="28">
        <v>0</v>
      </c>
      <c r="Q196" s="28">
        <v>0</v>
      </c>
      <c r="R196" s="28">
        <v>7</v>
      </c>
      <c r="S196" s="28">
        <v>7</v>
      </c>
      <c r="T196" s="29">
        <v>1</v>
      </c>
      <c r="U196" s="30">
        <v>0</v>
      </c>
      <c r="V196" s="28">
        <v>7</v>
      </c>
      <c r="W196" s="28">
        <v>0</v>
      </c>
      <c r="X196" s="28">
        <v>8</v>
      </c>
      <c r="Y196" s="28">
        <v>8</v>
      </c>
      <c r="Z196" s="28">
        <v>7</v>
      </c>
      <c r="AA196" s="28">
        <v>7</v>
      </c>
      <c r="AB196" s="28">
        <v>7</v>
      </c>
      <c r="AC196" s="29">
        <v>4</v>
      </c>
      <c r="AD196" s="30">
        <v>0</v>
      </c>
      <c r="AE196" s="28">
        <v>7</v>
      </c>
      <c r="AF196" s="28">
        <v>10</v>
      </c>
      <c r="AG196" s="28">
        <v>10</v>
      </c>
      <c r="AH196" s="28">
        <v>0</v>
      </c>
      <c r="AI196" s="28">
        <v>0</v>
      </c>
      <c r="AJ196" s="28">
        <v>7</v>
      </c>
      <c r="AK196" s="28">
        <v>7</v>
      </c>
      <c r="AL196" s="29">
        <v>1</v>
      </c>
      <c r="AM196" s="30">
        <v>0</v>
      </c>
    </row>
    <row r="197" spans="1:39" s="1" customFormat="1" ht="16.5" customHeight="1">
      <c r="A197" s="31" t="s">
        <v>269</v>
      </c>
      <c r="B197" s="32" t="s">
        <v>305</v>
      </c>
      <c r="C197" s="32">
        <v>18007371</v>
      </c>
      <c r="D197" s="28">
        <v>7</v>
      </c>
      <c r="E197" s="28">
        <v>7</v>
      </c>
      <c r="F197" s="28">
        <v>7</v>
      </c>
      <c r="G197" s="28">
        <v>10</v>
      </c>
      <c r="H197" s="28">
        <v>10</v>
      </c>
      <c r="I197" s="28">
        <v>0</v>
      </c>
      <c r="J197" s="28">
        <v>0</v>
      </c>
      <c r="K197" s="29">
        <v>2</v>
      </c>
      <c r="L197" s="29">
        <v>7</v>
      </c>
      <c r="M197" s="28" t="s">
        <v>83</v>
      </c>
      <c r="N197" s="28">
        <v>7</v>
      </c>
      <c r="O197" s="28">
        <v>7</v>
      </c>
      <c r="P197" s="28">
        <v>7</v>
      </c>
      <c r="Q197" s="28">
        <v>10</v>
      </c>
      <c r="R197" s="28">
        <v>10</v>
      </c>
      <c r="S197" s="28">
        <v>0</v>
      </c>
      <c r="T197" s="29">
        <v>1</v>
      </c>
      <c r="U197" s="30">
        <v>0</v>
      </c>
      <c r="V197" s="28">
        <v>0</v>
      </c>
      <c r="W197" s="28">
        <v>7</v>
      </c>
      <c r="X197" s="28">
        <v>7</v>
      </c>
      <c r="Y197" s="28" t="s">
        <v>68</v>
      </c>
      <c r="Z197" s="28" t="s">
        <v>68</v>
      </c>
      <c r="AA197" s="28" t="s">
        <v>68</v>
      </c>
      <c r="AB197" s="28" t="s">
        <v>68</v>
      </c>
      <c r="AC197" s="29">
        <v>6</v>
      </c>
      <c r="AD197" s="30">
        <v>0</v>
      </c>
      <c r="AE197" s="28" t="s">
        <v>68</v>
      </c>
      <c r="AF197" s="28" t="s">
        <v>68</v>
      </c>
      <c r="AG197" s="28" t="s">
        <v>68</v>
      </c>
      <c r="AH197" s="28" t="s">
        <v>68</v>
      </c>
      <c r="AI197" s="28" t="s">
        <v>68</v>
      </c>
      <c r="AJ197" s="28">
        <v>7</v>
      </c>
      <c r="AK197" s="28">
        <v>10</v>
      </c>
      <c r="AL197" s="29">
        <v>1</v>
      </c>
      <c r="AM197" s="30">
        <v>0</v>
      </c>
    </row>
    <row r="198" spans="1:39" s="1" customFormat="1" ht="16.5" customHeight="1">
      <c r="A198" s="31" t="s">
        <v>31</v>
      </c>
      <c r="B198" s="32" t="s">
        <v>305</v>
      </c>
      <c r="C198" s="32">
        <v>18006034</v>
      </c>
      <c r="D198" s="28">
        <v>7</v>
      </c>
      <c r="E198" s="28">
        <v>10</v>
      </c>
      <c r="F198" s="28">
        <v>10</v>
      </c>
      <c r="G198" s="28">
        <v>0</v>
      </c>
      <c r="H198" s="28">
        <v>0</v>
      </c>
      <c r="I198" s="28">
        <v>7</v>
      </c>
      <c r="J198" s="28">
        <v>7</v>
      </c>
      <c r="K198" s="29">
        <v>-1</v>
      </c>
      <c r="L198" s="29">
        <v>10</v>
      </c>
      <c r="M198" s="28">
        <v>7</v>
      </c>
      <c r="N198" s="28">
        <v>7</v>
      </c>
      <c r="O198" s="28">
        <v>10</v>
      </c>
      <c r="P198" s="28">
        <v>10</v>
      </c>
      <c r="Q198" s="28">
        <v>0</v>
      </c>
      <c r="R198" s="28">
        <v>0</v>
      </c>
      <c r="S198" s="28">
        <v>7</v>
      </c>
      <c r="T198" s="29">
        <v>1</v>
      </c>
      <c r="U198" s="30">
        <v>0</v>
      </c>
      <c r="V198" s="28">
        <v>7</v>
      </c>
      <c r="W198" s="28">
        <v>7</v>
      </c>
      <c r="X198" s="28">
        <v>7</v>
      </c>
      <c r="Y198" s="28">
        <v>10</v>
      </c>
      <c r="Z198" s="28">
        <v>10</v>
      </c>
      <c r="AA198" s="28">
        <v>0</v>
      </c>
      <c r="AB198" s="28">
        <v>0</v>
      </c>
      <c r="AC198" s="29">
        <v>1</v>
      </c>
      <c r="AD198" s="30">
        <v>0</v>
      </c>
      <c r="AE198" s="28">
        <v>7</v>
      </c>
      <c r="AF198" s="28">
        <v>7</v>
      </c>
      <c r="AG198" s="28">
        <v>7</v>
      </c>
      <c r="AH198" s="28">
        <v>7</v>
      </c>
      <c r="AI198" s="28">
        <v>7</v>
      </c>
      <c r="AJ198" s="28">
        <v>7</v>
      </c>
      <c r="AK198" s="28">
        <v>7</v>
      </c>
      <c r="AL198" s="29">
        <v>9</v>
      </c>
      <c r="AM198" s="30">
        <v>0</v>
      </c>
    </row>
    <row r="199" spans="1:39" s="1" customFormat="1" ht="16.5" customHeight="1">
      <c r="A199" s="31" t="s">
        <v>263</v>
      </c>
      <c r="B199" s="32" t="s">
        <v>305</v>
      </c>
      <c r="C199" s="32">
        <v>18007355</v>
      </c>
      <c r="D199" s="28">
        <v>10</v>
      </c>
      <c r="E199" s="28">
        <v>0</v>
      </c>
      <c r="F199" s="28">
        <v>0</v>
      </c>
      <c r="G199" s="28">
        <v>7</v>
      </c>
      <c r="H199" s="28">
        <v>7</v>
      </c>
      <c r="I199" s="28">
        <v>7</v>
      </c>
      <c r="J199" s="28">
        <v>7</v>
      </c>
      <c r="K199" s="29">
        <v>6</v>
      </c>
      <c r="L199" s="29">
        <v>0</v>
      </c>
      <c r="M199" s="28">
        <v>10</v>
      </c>
      <c r="N199" s="28">
        <v>10</v>
      </c>
      <c r="O199" s="28">
        <v>0</v>
      </c>
      <c r="P199" s="28">
        <v>0</v>
      </c>
      <c r="Q199" s="28">
        <v>7</v>
      </c>
      <c r="R199" s="28">
        <v>7</v>
      </c>
      <c r="S199" s="28">
        <v>7</v>
      </c>
      <c r="T199" s="29">
        <v>1</v>
      </c>
      <c r="U199" s="30">
        <v>0</v>
      </c>
      <c r="V199" s="28">
        <v>7</v>
      </c>
      <c r="W199" s="28">
        <v>10</v>
      </c>
      <c r="X199" s="28">
        <v>10</v>
      </c>
      <c r="Y199" s="28">
        <v>0</v>
      </c>
      <c r="Z199" s="28">
        <v>0</v>
      </c>
      <c r="AA199" s="28" t="s">
        <v>68</v>
      </c>
      <c r="AB199" s="28" t="s">
        <v>68</v>
      </c>
      <c r="AC199" s="29">
        <v>3</v>
      </c>
      <c r="AD199" s="30">
        <v>0</v>
      </c>
      <c r="AE199" s="28" t="s">
        <v>68</v>
      </c>
      <c r="AF199" s="28" t="s">
        <v>68</v>
      </c>
      <c r="AG199" s="28" t="s">
        <v>68</v>
      </c>
      <c r="AH199" s="28" t="s">
        <v>68</v>
      </c>
      <c r="AI199" s="28" t="s">
        <v>68</v>
      </c>
      <c r="AJ199" s="28" t="s">
        <v>68</v>
      </c>
      <c r="AK199" s="28" t="s">
        <v>68</v>
      </c>
      <c r="AL199" s="29">
        <v>0</v>
      </c>
      <c r="AM199" s="30">
        <v>0</v>
      </c>
    </row>
    <row r="200" spans="1:39" s="1" customFormat="1" ht="16.5" customHeight="1">
      <c r="A200" s="31" t="s">
        <v>32</v>
      </c>
      <c r="B200" s="32" t="s">
        <v>305</v>
      </c>
      <c r="C200" s="32">
        <v>18004309</v>
      </c>
      <c r="D200" s="28">
        <v>10</v>
      </c>
      <c r="E200" s="28">
        <v>0</v>
      </c>
      <c r="F200" s="28">
        <v>0</v>
      </c>
      <c r="G200" s="28">
        <v>7</v>
      </c>
      <c r="H200" s="28">
        <v>7</v>
      </c>
      <c r="I200" s="28">
        <v>7</v>
      </c>
      <c r="J200" s="28">
        <v>7</v>
      </c>
      <c r="K200" s="29">
        <v>6</v>
      </c>
      <c r="L200" s="29">
        <v>0</v>
      </c>
      <c r="M200" s="28">
        <v>10</v>
      </c>
      <c r="N200" s="28">
        <v>10</v>
      </c>
      <c r="O200" s="28">
        <v>0</v>
      </c>
      <c r="P200" s="28">
        <v>0</v>
      </c>
      <c r="Q200" s="28">
        <v>7</v>
      </c>
      <c r="R200" s="28">
        <v>7</v>
      </c>
      <c r="S200" s="28">
        <v>7</v>
      </c>
      <c r="T200" s="29">
        <v>1</v>
      </c>
      <c r="U200" s="30">
        <v>0</v>
      </c>
      <c r="V200" s="28">
        <v>7</v>
      </c>
      <c r="W200" s="28">
        <v>10</v>
      </c>
      <c r="X200" s="28">
        <v>10</v>
      </c>
      <c r="Y200" s="28">
        <v>0</v>
      </c>
      <c r="Z200" s="28">
        <v>0</v>
      </c>
      <c r="AA200" s="28">
        <v>7</v>
      </c>
      <c r="AB200" s="28">
        <v>7</v>
      </c>
      <c r="AC200" s="29">
        <v>1</v>
      </c>
      <c r="AD200" s="30">
        <v>0</v>
      </c>
      <c r="AE200" s="28">
        <v>7</v>
      </c>
      <c r="AF200" s="28">
        <v>7</v>
      </c>
      <c r="AG200" s="28">
        <v>10</v>
      </c>
      <c r="AH200" s="28">
        <v>10</v>
      </c>
      <c r="AI200" s="28">
        <v>0</v>
      </c>
      <c r="AJ200" s="28">
        <v>0</v>
      </c>
      <c r="AK200" s="28">
        <v>7</v>
      </c>
      <c r="AL200" s="29">
        <v>1</v>
      </c>
      <c r="AM200" s="30">
        <v>0</v>
      </c>
    </row>
    <row r="201" spans="1:39" s="1" customFormat="1" ht="16.5" customHeight="1">
      <c r="A201" s="31" t="s">
        <v>259</v>
      </c>
      <c r="B201" s="32" t="s">
        <v>305</v>
      </c>
      <c r="C201" s="32">
        <v>18007364</v>
      </c>
      <c r="D201" s="28">
        <v>0</v>
      </c>
      <c r="E201" s="28">
        <v>7</v>
      </c>
      <c r="F201" s="28">
        <v>7</v>
      </c>
      <c r="G201" s="28">
        <v>7</v>
      </c>
      <c r="H201" s="28">
        <v>7</v>
      </c>
      <c r="I201" s="28">
        <v>10</v>
      </c>
      <c r="J201" s="28">
        <v>10</v>
      </c>
      <c r="K201" s="29">
        <v>9</v>
      </c>
      <c r="L201" s="29">
        <v>7</v>
      </c>
      <c r="M201" s="28">
        <v>0</v>
      </c>
      <c r="N201" s="28">
        <v>0</v>
      </c>
      <c r="O201" s="28">
        <v>7</v>
      </c>
      <c r="P201" s="28">
        <v>7</v>
      </c>
      <c r="Q201" s="28">
        <v>7</v>
      </c>
      <c r="R201" s="28">
        <v>7</v>
      </c>
      <c r="S201" s="28">
        <v>7</v>
      </c>
      <c r="T201" s="29">
        <v>-5</v>
      </c>
      <c r="U201" s="30">
        <v>0</v>
      </c>
      <c r="V201" s="28">
        <v>7</v>
      </c>
      <c r="W201" s="28">
        <v>7</v>
      </c>
      <c r="X201" s="28">
        <v>7</v>
      </c>
      <c r="Y201" s="28">
        <v>10</v>
      </c>
      <c r="Z201" s="28">
        <v>10</v>
      </c>
      <c r="AA201" s="28">
        <v>0</v>
      </c>
      <c r="AB201" s="28">
        <v>0</v>
      </c>
      <c r="AC201" s="29">
        <v>1</v>
      </c>
      <c r="AD201" s="30">
        <v>0</v>
      </c>
      <c r="AE201" s="28">
        <v>7</v>
      </c>
      <c r="AF201" s="28">
        <v>7</v>
      </c>
      <c r="AG201" s="28">
        <v>7</v>
      </c>
      <c r="AH201" s="28">
        <v>7</v>
      </c>
      <c r="AI201" s="28">
        <v>10</v>
      </c>
      <c r="AJ201" s="28">
        <v>10</v>
      </c>
      <c r="AK201" s="28">
        <v>0</v>
      </c>
      <c r="AL201" s="29">
        <v>8</v>
      </c>
      <c r="AM201" s="30">
        <v>0</v>
      </c>
    </row>
    <row r="202" spans="1:39" s="1" customFormat="1" ht="16.5" customHeight="1">
      <c r="A202" s="31" t="s">
        <v>115</v>
      </c>
      <c r="B202" s="32" t="s">
        <v>305</v>
      </c>
      <c r="C202" s="32">
        <v>18008178</v>
      </c>
      <c r="D202" s="28">
        <v>7</v>
      </c>
      <c r="E202" s="28">
        <v>10</v>
      </c>
      <c r="F202" s="28">
        <v>10</v>
      </c>
      <c r="G202" s="28">
        <v>0</v>
      </c>
      <c r="H202" s="28">
        <v>0</v>
      </c>
      <c r="I202" s="28" t="s">
        <v>68</v>
      </c>
      <c r="J202" s="28" t="s">
        <v>68</v>
      </c>
      <c r="K202" s="29">
        <v>1</v>
      </c>
      <c r="L202" s="29">
        <v>10</v>
      </c>
      <c r="M202" s="28" t="s">
        <v>68</v>
      </c>
      <c r="N202" s="28" t="s">
        <v>68</v>
      </c>
      <c r="O202" s="28" t="s">
        <v>68</v>
      </c>
      <c r="P202" s="28" t="s">
        <v>68</v>
      </c>
      <c r="Q202" s="28" t="s">
        <v>68</v>
      </c>
      <c r="R202" s="28" t="s">
        <v>68</v>
      </c>
      <c r="S202" s="28" t="s">
        <v>68</v>
      </c>
      <c r="T202" s="29">
        <v>0</v>
      </c>
      <c r="U202" s="30">
        <v>0</v>
      </c>
      <c r="V202" s="28" t="s">
        <v>68</v>
      </c>
      <c r="W202" s="28" t="s">
        <v>68</v>
      </c>
      <c r="X202" s="28" t="s">
        <v>68</v>
      </c>
      <c r="Y202" s="28">
        <v>7</v>
      </c>
      <c r="Z202" s="28">
        <v>7</v>
      </c>
      <c r="AA202" s="28">
        <v>10</v>
      </c>
      <c r="AB202" s="28">
        <v>10</v>
      </c>
      <c r="AC202" s="29">
        <v>2</v>
      </c>
      <c r="AD202" s="30">
        <v>0</v>
      </c>
      <c r="AE202" s="28">
        <v>0</v>
      </c>
      <c r="AF202" s="28">
        <v>0</v>
      </c>
      <c r="AG202" s="28">
        <v>7</v>
      </c>
      <c r="AH202" s="28">
        <v>7</v>
      </c>
      <c r="AI202" s="28">
        <v>7</v>
      </c>
      <c r="AJ202" s="28">
        <v>7</v>
      </c>
      <c r="AK202" s="28">
        <v>10</v>
      </c>
      <c r="AL202" s="29">
        <v>-2</v>
      </c>
      <c r="AM202" s="30">
        <v>0</v>
      </c>
    </row>
    <row r="203" spans="1:39" s="1" customFormat="1" ht="16.5" customHeight="1">
      <c r="A203" s="31" t="s">
        <v>266</v>
      </c>
      <c r="B203" s="32" t="s">
        <v>305</v>
      </c>
      <c r="C203" s="32">
        <v>18007372</v>
      </c>
      <c r="D203" s="28" t="s">
        <v>68</v>
      </c>
      <c r="E203" s="28" t="s">
        <v>68</v>
      </c>
      <c r="F203" s="28" t="s">
        <v>68</v>
      </c>
      <c r="G203" s="28" t="s">
        <v>68</v>
      </c>
      <c r="H203" s="28" t="s">
        <v>68</v>
      </c>
      <c r="I203" s="28" t="s">
        <v>68</v>
      </c>
      <c r="J203" s="28" t="s">
        <v>68</v>
      </c>
      <c r="K203" s="29">
        <v>0</v>
      </c>
      <c r="L203" s="29">
        <v>0</v>
      </c>
      <c r="M203" s="28" t="s">
        <v>68</v>
      </c>
      <c r="N203" s="28" t="s">
        <v>68</v>
      </c>
      <c r="O203" s="28">
        <v>7</v>
      </c>
      <c r="P203" s="28">
        <v>7</v>
      </c>
      <c r="Q203" s="28">
        <v>7</v>
      </c>
      <c r="R203" s="28">
        <v>7</v>
      </c>
      <c r="S203" s="28">
        <v>10</v>
      </c>
      <c r="T203" s="29">
        <v>-2</v>
      </c>
      <c r="U203" s="30">
        <v>0</v>
      </c>
      <c r="V203" s="28">
        <v>10</v>
      </c>
      <c r="W203" s="28">
        <v>0</v>
      </c>
      <c r="X203" s="28">
        <v>0</v>
      </c>
      <c r="Y203" s="28">
        <v>7</v>
      </c>
      <c r="Z203" s="28">
        <v>7</v>
      </c>
      <c r="AA203" s="28">
        <v>7</v>
      </c>
      <c r="AB203" s="28">
        <v>7</v>
      </c>
      <c r="AC203" s="29">
        <v>-2</v>
      </c>
      <c r="AD203" s="30">
        <v>0</v>
      </c>
      <c r="AE203" s="28">
        <v>10</v>
      </c>
      <c r="AF203" s="28">
        <v>10</v>
      </c>
      <c r="AG203" s="28">
        <v>0</v>
      </c>
      <c r="AH203" s="28">
        <v>0</v>
      </c>
      <c r="AI203" s="28">
        <v>7</v>
      </c>
      <c r="AJ203" s="28">
        <v>7</v>
      </c>
      <c r="AK203" s="28">
        <v>7</v>
      </c>
      <c r="AL203" s="29">
        <v>1</v>
      </c>
      <c r="AM203" s="30">
        <v>0</v>
      </c>
    </row>
    <row r="204" spans="1:39" s="1" customFormat="1" ht="16.5" customHeight="1">
      <c r="A204" s="31" t="s">
        <v>33</v>
      </c>
      <c r="B204" s="32" t="s">
        <v>305</v>
      </c>
      <c r="C204" s="32">
        <v>18005584</v>
      </c>
      <c r="D204" s="28">
        <v>7</v>
      </c>
      <c r="E204" s="28">
        <v>0</v>
      </c>
      <c r="F204" s="28">
        <v>7</v>
      </c>
      <c r="G204" s="28">
        <v>7</v>
      </c>
      <c r="H204" s="28">
        <v>7</v>
      </c>
      <c r="I204" s="28">
        <v>7</v>
      </c>
      <c r="J204" s="28">
        <v>7</v>
      </c>
      <c r="K204" s="29">
        <v>3</v>
      </c>
      <c r="L204" s="29">
        <v>7</v>
      </c>
      <c r="M204" s="28">
        <v>7</v>
      </c>
      <c r="N204" s="28">
        <v>0</v>
      </c>
      <c r="O204" s="28">
        <v>7</v>
      </c>
      <c r="P204" s="28">
        <v>7</v>
      </c>
      <c r="Q204" s="28">
        <v>7</v>
      </c>
      <c r="R204" s="28">
        <v>7</v>
      </c>
      <c r="S204" s="28">
        <v>9</v>
      </c>
      <c r="T204" s="29">
        <v>4</v>
      </c>
      <c r="U204" s="30">
        <v>0</v>
      </c>
      <c r="V204" s="28">
        <v>7</v>
      </c>
      <c r="W204" s="28">
        <v>0</v>
      </c>
      <c r="X204" s="28">
        <v>7</v>
      </c>
      <c r="Y204" s="28">
        <v>7</v>
      </c>
      <c r="Z204" s="28">
        <v>7</v>
      </c>
      <c r="AA204" s="28">
        <v>7</v>
      </c>
      <c r="AB204" s="28">
        <v>7</v>
      </c>
      <c r="AC204" s="29">
        <v>2</v>
      </c>
      <c r="AD204" s="30">
        <v>0</v>
      </c>
      <c r="AE204" s="28">
        <v>7</v>
      </c>
      <c r="AF204" s="28">
        <v>0</v>
      </c>
      <c r="AG204" s="28">
        <v>7</v>
      </c>
      <c r="AH204" s="28">
        <v>7</v>
      </c>
      <c r="AI204" s="28">
        <v>7</v>
      </c>
      <c r="AJ204" s="28">
        <v>7</v>
      </c>
      <c r="AK204" s="28">
        <v>7</v>
      </c>
      <c r="AL204" s="29">
        <v>2</v>
      </c>
      <c r="AM204" s="30">
        <v>0</v>
      </c>
    </row>
    <row r="205" spans="1:39" s="1" customFormat="1" ht="16.5" customHeight="1">
      <c r="A205" s="31" t="s">
        <v>30</v>
      </c>
      <c r="B205" s="32" t="s">
        <v>305</v>
      </c>
      <c r="C205" s="32">
        <v>18006109</v>
      </c>
      <c r="D205" s="28">
        <v>7</v>
      </c>
      <c r="E205" s="28">
        <v>7</v>
      </c>
      <c r="F205" s="28">
        <v>7</v>
      </c>
      <c r="G205" s="28">
        <v>10</v>
      </c>
      <c r="H205" s="28">
        <v>10</v>
      </c>
      <c r="I205" s="28">
        <v>0</v>
      </c>
      <c r="J205" s="28">
        <v>0</v>
      </c>
      <c r="K205" s="29">
        <v>2</v>
      </c>
      <c r="L205" s="29">
        <v>7</v>
      </c>
      <c r="M205" s="28">
        <v>7</v>
      </c>
      <c r="N205" s="28">
        <v>7</v>
      </c>
      <c r="O205" s="28">
        <v>7</v>
      </c>
      <c r="P205" s="28">
        <v>7</v>
      </c>
      <c r="Q205" s="28">
        <v>10</v>
      </c>
      <c r="R205" s="28">
        <v>10</v>
      </c>
      <c r="S205" s="28">
        <v>0</v>
      </c>
      <c r="T205" s="29">
        <v>8</v>
      </c>
      <c r="U205" s="30">
        <v>0</v>
      </c>
      <c r="V205" s="28">
        <v>0</v>
      </c>
      <c r="W205" s="28">
        <v>7</v>
      </c>
      <c r="X205" s="28">
        <v>7</v>
      </c>
      <c r="Y205" s="28">
        <v>7</v>
      </c>
      <c r="Z205" s="28">
        <v>7</v>
      </c>
      <c r="AA205" s="28">
        <v>10</v>
      </c>
      <c r="AB205" s="28">
        <v>10</v>
      </c>
      <c r="AC205" s="29">
        <v>8</v>
      </c>
      <c r="AD205" s="30">
        <v>0</v>
      </c>
      <c r="AE205" s="28">
        <v>0</v>
      </c>
      <c r="AF205" s="28">
        <v>0</v>
      </c>
      <c r="AG205" s="28">
        <v>7</v>
      </c>
      <c r="AH205" s="28">
        <v>7</v>
      </c>
      <c r="AI205" s="28">
        <v>7</v>
      </c>
      <c r="AJ205" s="28">
        <v>7</v>
      </c>
      <c r="AK205" s="28">
        <v>10</v>
      </c>
      <c r="AL205" s="29">
        <v>-2</v>
      </c>
      <c r="AM205" s="30">
        <v>0</v>
      </c>
    </row>
    <row r="206" spans="1:39" s="1" customFormat="1" ht="16.5" customHeight="1">
      <c r="A206" s="31" t="s">
        <v>267</v>
      </c>
      <c r="B206" s="32" t="s">
        <v>305</v>
      </c>
      <c r="C206" s="32">
        <v>18007358</v>
      </c>
      <c r="D206" s="28">
        <v>10</v>
      </c>
      <c r="E206" s="28">
        <v>0</v>
      </c>
      <c r="F206" s="28">
        <v>0</v>
      </c>
      <c r="G206" s="28">
        <v>7</v>
      </c>
      <c r="H206" s="28">
        <v>7</v>
      </c>
      <c r="I206" s="28">
        <v>7</v>
      </c>
      <c r="J206" s="28">
        <v>7</v>
      </c>
      <c r="K206" s="29">
        <v>6</v>
      </c>
      <c r="L206" s="29">
        <v>0</v>
      </c>
      <c r="M206" s="28">
        <v>10</v>
      </c>
      <c r="N206" s="28">
        <v>10</v>
      </c>
      <c r="O206" s="28">
        <v>0</v>
      </c>
      <c r="P206" s="28">
        <v>0</v>
      </c>
      <c r="Q206" s="28">
        <v>7</v>
      </c>
      <c r="R206" s="28" t="s">
        <v>68</v>
      </c>
      <c r="S206" s="28" t="s">
        <v>68</v>
      </c>
      <c r="T206" s="29">
        <v>3</v>
      </c>
      <c r="U206" s="30">
        <v>0</v>
      </c>
      <c r="V206" s="28" t="s">
        <v>68</v>
      </c>
      <c r="W206" s="28" t="s">
        <v>68</v>
      </c>
      <c r="X206" s="28" t="s">
        <v>68</v>
      </c>
      <c r="Y206" s="28" t="s">
        <v>68</v>
      </c>
      <c r="Z206" s="28" t="s">
        <v>68</v>
      </c>
      <c r="AA206" s="28" t="s">
        <v>68</v>
      </c>
      <c r="AB206" s="28">
        <v>7</v>
      </c>
      <c r="AC206" s="29">
        <v>-1</v>
      </c>
      <c r="AD206" s="30">
        <v>0</v>
      </c>
      <c r="AE206" s="28">
        <v>7</v>
      </c>
      <c r="AF206" s="28">
        <v>7</v>
      </c>
      <c r="AG206" s="28">
        <v>10</v>
      </c>
      <c r="AH206" s="28">
        <v>10</v>
      </c>
      <c r="AI206" s="28">
        <v>0</v>
      </c>
      <c r="AJ206" s="28">
        <v>0</v>
      </c>
      <c r="AK206" s="28">
        <v>7</v>
      </c>
      <c r="AL206" s="29">
        <v>1</v>
      </c>
      <c r="AM206" s="30">
        <v>0</v>
      </c>
    </row>
    <row r="207" spans="1:39" s="1" customFormat="1" ht="16.5" customHeight="1">
      <c r="A207" s="31" t="s">
        <v>270</v>
      </c>
      <c r="B207" s="32" t="s">
        <v>305</v>
      </c>
      <c r="C207" s="32">
        <v>18006038</v>
      </c>
      <c r="D207" s="28">
        <v>7</v>
      </c>
      <c r="E207" s="28">
        <v>7</v>
      </c>
      <c r="F207" s="28">
        <v>7</v>
      </c>
      <c r="G207" s="28">
        <v>10</v>
      </c>
      <c r="H207" s="28">
        <v>10</v>
      </c>
      <c r="I207" s="28">
        <v>0</v>
      </c>
      <c r="J207" s="28">
        <v>0</v>
      </c>
      <c r="K207" s="29">
        <v>2</v>
      </c>
      <c r="L207" s="29">
        <v>7</v>
      </c>
      <c r="M207" s="28">
        <v>7</v>
      </c>
      <c r="N207" s="28">
        <v>7</v>
      </c>
      <c r="O207" s="28">
        <v>7</v>
      </c>
      <c r="P207" s="28">
        <v>7</v>
      </c>
      <c r="Q207" s="28">
        <v>10</v>
      </c>
      <c r="R207" s="28">
        <v>10</v>
      </c>
      <c r="S207" s="28">
        <v>0</v>
      </c>
      <c r="T207" s="29">
        <v>8</v>
      </c>
      <c r="U207" s="30">
        <v>0</v>
      </c>
      <c r="V207" s="28">
        <v>0</v>
      </c>
      <c r="W207" s="28">
        <v>7</v>
      </c>
      <c r="X207" s="28">
        <v>7</v>
      </c>
      <c r="Y207" s="28">
        <v>7</v>
      </c>
      <c r="Z207" s="28">
        <v>7</v>
      </c>
      <c r="AA207" s="28">
        <v>10</v>
      </c>
      <c r="AB207" s="28">
        <v>10</v>
      </c>
      <c r="AC207" s="29">
        <v>8</v>
      </c>
      <c r="AD207" s="30">
        <v>0</v>
      </c>
      <c r="AE207" s="28">
        <v>0</v>
      </c>
      <c r="AF207" s="28">
        <v>0</v>
      </c>
      <c r="AG207" s="28">
        <v>7</v>
      </c>
      <c r="AH207" s="28">
        <v>7</v>
      </c>
      <c r="AI207" s="28">
        <v>7</v>
      </c>
      <c r="AJ207" s="28">
        <v>7</v>
      </c>
      <c r="AK207" s="28">
        <v>10</v>
      </c>
      <c r="AL207" s="29">
        <v>-2</v>
      </c>
      <c r="AM207" s="30">
        <v>0</v>
      </c>
    </row>
    <row r="208" spans="1:39" s="1" customFormat="1" ht="16.5" customHeight="1">
      <c r="A208" s="31" t="s">
        <v>116</v>
      </c>
      <c r="B208" s="32" t="s">
        <v>305</v>
      </c>
      <c r="C208" s="32">
        <v>18008180</v>
      </c>
      <c r="D208" s="28">
        <v>7</v>
      </c>
      <c r="E208" s="28">
        <v>7</v>
      </c>
      <c r="F208" s="28">
        <v>7</v>
      </c>
      <c r="G208" s="28">
        <v>10</v>
      </c>
      <c r="H208" s="28">
        <v>10</v>
      </c>
      <c r="I208" s="28">
        <v>0</v>
      </c>
      <c r="J208" s="28">
        <v>0</v>
      </c>
      <c r="K208" s="29">
        <v>2</v>
      </c>
      <c r="L208" s="29">
        <v>7</v>
      </c>
      <c r="M208" s="28">
        <v>14</v>
      </c>
      <c r="N208" s="28">
        <v>7</v>
      </c>
      <c r="O208" s="28">
        <v>10</v>
      </c>
      <c r="P208" s="28">
        <v>10</v>
      </c>
      <c r="Q208" s="28">
        <v>0</v>
      </c>
      <c r="R208" s="28">
        <v>0</v>
      </c>
      <c r="S208" s="28">
        <v>7</v>
      </c>
      <c r="T208" s="29">
        <v>8</v>
      </c>
      <c r="U208" s="30">
        <v>0</v>
      </c>
      <c r="V208" s="28">
        <v>7</v>
      </c>
      <c r="W208" s="28">
        <v>10</v>
      </c>
      <c r="X208" s="28">
        <v>10</v>
      </c>
      <c r="Y208" s="28">
        <v>0</v>
      </c>
      <c r="Z208" s="28">
        <v>0</v>
      </c>
      <c r="AA208" s="28">
        <v>7</v>
      </c>
      <c r="AB208" s="28">
        <v>7</v>
      </c>
      <c r="AC208" s="29">
        <v>1</v>
      </c>
      <c r="AD208" s="30">
        <v>0</v>
      </c>
      <c r="AE208" s="28">
        <v>7</v>
      </c>
      <c r="AF208" s="28">
        <v>7</v>
      </c>
      <c r="AG208" s="28">
        <v>10</v>
      </c>
      <c r="AH208" s="28">
        <v>10</v>
      </c>
      <c r="AI208" s="28">
        <v>0</v>
      </c>
      <c r="AJ208" s="28">
        <v>0</v>
      </c>
      <c r="AK208" s="28">
        <v>7</v>
      </c>
      <c r="AL208" s="29">
        <v>1</v>
      </c>
      <c r="AM208" s="30">
        <v>0</v>
      </c>
    </row>
    <row r="209" spans="1:39" s="1" customFormat="1" ht="16.5" customHeight="1">
      <c r="A209" s="31" t="s">
        <v>34</v>
      </c>
      <c r="B209" s="32" t="s">
        <v>305</v>
      </c>
      <c r="C209" s="32">
        <v>18004503</v>
      </c>
      <c r="D209" s="28">
        <v>7</v>
      </c>
      <c r="E209" s="28">
        <v>10</v>
      </c>
      <c r="F209" s="28">
        <v>10</v>
      </c>
      <c r="G209" s="28">
        <v>0</v>
      </c>
      <c r="H209" s="28">
        <v>0</v>
      </c>
      <c r="I209" s="28">
        <v>7</v>
      </c>
      <c r="J209" s="28">
        <v>7</v>
      </c>
      <c r="K209" s="29">
        <v>-1</v>
      </c>
      <c r="L209" s="29">
        <v>10</v>
      </c>
      <c r="M209" s="28">
        <v>7</v>
      </c>
      <c r="N209" s="28">
        <v>7</v>
      </c>
      <c r="O209" s="28">
        <v>10</v>
      </c>
      <c r="P209" s="28">
        <v>10</v>
      </c>
      <c r="Q209" s="28">
        <v>0</v>
      </c>
      <c r="R209" s="28">
        <v>0</v>
      </c>
      <c r="S209" s="28">
        <v>7</v>
      </c>
      <c r="T209" s="29">
        <v>1</v>
      </c>
      <c r="U209" s="30">
        <v>0</v>
      </c>
      <c r="V209" s="28">
        <v>7</v>
      </c>
      <c r="W209" s="28">
        <v>7</v>
      </c>
      <c r="X209" s="28">
        <v>7</v>
      </c>
      <c r="Y209" s="28">
        <v>10</v>
      </c>
      <c r="Z209" s="28">
        <v>10</v>
      </c>
      <c r="AA209" s="28">
        <v>0</v>
      </c>
      <c r="AB209" s="28">
        <v>0</v>
      </c>
      <c r="AC209" s="29">
        <v>1</v>
      </c>
      <c r="AD209" s="30">
        <v>0</v>
      </c>
      <c r="AE209" s="28">
        <v>7</v>
      </c>
      <c r="AF209" s="28">
        <v>7</v>
      </c>
      <c r="AG209" s="28">
        <v>7</v>
      </c>
      <c r="AH209" s="28">
        <v>7</v>
      </c>
      <c r="AI209" s="28">
        <v>7</v>
      </c>
      <c r="AJ209" s="28">
        <v>7</v>
      </c>
      <c r="AK209" s="28">
        <v>7</v>
      </c>
      <c r="AL209" s="29">
        <v>9</v>
      </c>
      <c r="AM209" s="30">
        <v>0</v>
      </c>
    </row>
    <row r="210" spans="1:39" s="1" customFormat="1" ht="16.5" customHeight="1">
      <c r="A210" s="31" t="s">
        <v>268</v>
      </c>
      <c r="B210" s="32" t="s">
        <v>305</v>
      </c>
      <c r="C210" s="32">
        <v>18007369</v>
      </c>
      <c r="D210" s="28">
        <v>7</v>
      </c>
      <c r="E210" s="28">
        <v>10</v>
      </c>
      <c r="F210" s="28">
        <v>10</v>
      </c>
      <c r="G210" s="28">
        <v>0</v>
      </c>
      <c r="H210" s="28">
        <v>0</v>
      </c>
      <c r="I210" s="28">
        <v>7</v>
      </c>
      <c r="J210" s="28">
        <v>7</v>
      </c>
      <c r="K210" s="29">
        <v>-1</v>
      </c>
      <c r="L210" s="29">
        <v>10</v>
      </c>
      <c r="M210" s="28">
        <v>7</v>
      </c>
      <c r="N210" s="28">
        <v>7</v>
      </c>
      <c r="O210" s="28">
        <v>10</v>
      </c>
      <c r="P210" s="28">
        <v>10</v>
      </c>
      <c r="Q210" s="28">
        <v>0</v>
      </c>
      <c r="R210" s="28">
        <v>0</v>
      </c>
      <c r="S210" s="28">
        <v>9</v>
      </c>
      <c r="T210" s="29">
        <v>3</v>
      </c>
      <c r="U210" s="30">
        <v>0</v>
      </c>
      <c r="V210" s="28">
        <v>9</v>
      </c>
      <c r="W210" s="28">
        <v>7</v>
      </c>
      <c r="X210" s="28">
        <v>7</v>
      </c>
      <c r="Y210" s="28">
        <v>10</v>
      </c>
      <c r="Z210" s="28">
        <v>10</v>
      </c>
      <c r="AA210" s="28">
        <v>0</v>
      </c>
      <c r="AB210" s="28">
        <v>0</v>
      </c>
      <c r="AC210" s="29">
        <v>3</v>
      </c>
      <c r="AD210" s="30">
        <v>0</v>
      </c>
      <c r="AE210" s="28">
        <v>7</v>
      </c>
      <c r="AF210" s="28">
        <v>7</v>
      </c>
      <c r="AG210" s="28">
        <v>7</v>
      </c>
      <c r="AH210" s="28">
        <v>7</v>
      </c>
      <c r="AI210" s="28">
        <v>10</v>
      </c>
      <c r="AJ210" s="28">
        <v>10</v>
      </c>
      <c r="AK210" s="28">
        <v>0</v>
      </c>
      <c r="AL210" s="29">
        <v>8</v>
      </c>
      <c r="AM210" s="30">
        <v>0</v>
      </c>
    </row>
    <row r="211" spans="1:39" s="1" customFormat="1" ht="16.5" customHeight="1">
      <c r="A211" s="31" t="s">
        <v>258</v>
      </c>
      <c r="B211" s="32" t="s">
        <v>305</v>
      </c>
      <c r="C211" s="32">
        <v>18007367</v>
      </c>
      <c r="D211" s="28">
        <v>7</v>
      </c>
      <c r="E211" s="28">
        <v>7</v>
      </c>
      <c r="F211" s="28">
        <v>7</v>
      </c>
      <c r="G211" s="28">
        <v>10</v>
      </c>
      <c r="H211" s="28">
        <v>10</v>
      </c>
      <c r="I211" s="28">
        <v>0</v>
      </c>
      <c r="J211" s="28">
        <v>0</v>
      </c>
      <c r="K211" s="29">
        <v>2</v>
      </c>
      <c r="L211" s="29">
        <v>7</v>
      </c>
      <c r="M211" s="28">
        <v>7</v>
      </c>
      <c r="N211" s="28">
        <v>7</v>
      </c>
      <c r="O211" s="28">
        <v>7</v>
      </c>
      <c r="P211" s="28">
        <v>7</v>
      </c>
      <c r="Q211" s="28">
        <v>0</v>
      </c>
      <c r="R211" s="28">
        <v>0</v>
      </c>
      <c r="S211" s="28">
        <v>10</v>
      </c>
      <c r="T211" s="29">
        <v>-2</v>
      </c>
      <c r="U211" s="30">
        <v>0</v>
      </c>
      <c r="V211" s="28">
        <v>10</v>
      </c>
      <c r="W211" s="28">
        <v>0</v>
      </c>
      <c r="X211" s="28">
        <v>0</v>
      </c>
      <c r="Y211" s="28">
        <v>7</v>
      </c>
      <c r="Z211" s="28">
        <v>7</v>
      </c>
      <c r="AA211" s="28">
        <v>7</v>
      </c>
      <c r="AB211" s="28">
        <v>7</v>
      </c>
      <c r="AC211" s="29">
        <v>-2</v>
      </c>
      <c r="AD211" s="30">
        <v>0</v>
      </c>
      <c r="AE211" s="28">
        <v>10</v>
      </c>
      <c r="AF211" s="28">
        <v>10</v>
      </c>
      <c r="AG211" s="28">
        <v>0</v>
      </c>
      <c r="AH211" s="28">
        <v>0</v>
      </c>
      <c r="AI211" s="28">
        <v>7</v>
      </c>
      <c r="AJ211" s="28">
        <v>7</v>
      </c>
      <c r="AK211" s="28">
        <v>7</v>
      </c>
      <c r="AL211" s="29">
        <v>1</v>
      </c>
      <c r="AM211" s="30">
        <v>0</v>
      </c>
    </row>
    <row r="212" spans="1:39" s="1" customFormat="1" ht="16.5" customHeight="1">
      <c r="A212" s="31" t="s">
        <v>252</v>
      </c>
      <c r="B212" s="32" t="s">
        <v>306</v>
      </c>
      <c r="C212" s="32">
        <v>18005590</v>
      </c>
      <c r="D212" s="28">
        <v>0</v>
      </c>
      <c r="E212" s="28">
        <v>7</v>
      </c>
      <c r="F212" s="28">
        <v>7</v>
      </c>
      <c r="G212" s="28">
        <v>7</v>
      </c>
      <c r="H212" s="28">
        <v>7</v>
      </c>
      <c r="I212" s="28">
        <v>10</v>
      </c>
      <c r="J212" s="28">
        <v>10</v>
      </c>
      <c r="K212" s="29">
        <v>9</v>
      </c>
      <c r="L212" s="29">
        <v>7</v>
      </c>
      <c r="M212" s="28">
        <v>0</v>
      </c>
      <c r="N212" s="28">
        <v>0</v>
      </c>
      <c r="O212" s="28">
        <v>7</v>
      </c>
      <c r="P212" s="28">
        <v>7</v>
      </c>
      <c r="Q212" s="28">
        <v>7</v>
      </c>
      <c r="R212" s="28">
        <v>7</v>
      </c>
      <c r="S212" s="28">
        <v>10</v>
      </c>
      <c r="T212" s="29">
        <v>-2</v>
      </c>
      <c r="U212" s="30">
        <v>0</v>
      </c>
      <c r="V212" s="28">
        <v>10</v>
      </c>
      <c r="W212" s="28">
        <v>0</v>
      </c>
      <c r="X212" s="28">
        <v>0</v>
      </c>
      <c r="Y212" s="28">
        <v>7</v>
      </c>
      <c r="Z212" s="28">
        <v>7</v>
      </c>
      <c r="AA212" s="28">
        <v>7</v>
      </c>
      <c r="AB212" s="28">
        <v>7</v>
      </c>
      <c r="AC212" s="29">
        <v>-2</v>
      </c>
      <c r="AD212" s="30">
        <v>0</v>
      </c>
      <c r="AE212" s="28">
        <v>10</v>
      </c>
      <c r="AF212" s="28">
        <v>10</v>
      </c>
      <c r="AG212" s="28">
        <v>0</v>
      </c>
      <c r="AH212" s="28">
        <v>0</v>
      </c>
      <c r="AI212" s="28">
        <v>7</v>
      </c>
      <c r="AJ212" s="28">
        <v>7</v>
      </c>
      <c r="AK212" s="28">
        <v>7</v>
      </c>
      <c r="AL212" s="29">
        <v>1</v>
      </c>
      <c r="AM212" s="30">
        <v>0</v>
      </c>
    </row>
    <row r="213" spans="1:39" s="1" customFormat="1" ht="16.5" customHeight="1">
      <c r="A213" s="31" t="s">
        <v>37</v>
      </c>
      <c r="B213" s="32" t="s">
        <v>314</v>
      </c>
      <c r="C213" s="32">
        <v>18004145</v>
      </c>
      <c r="D213" s="28">
        <v>0</v>
      </c>
      <c r="E213" s="28">
        <v>0</v>
      </c>
      <c r="F213" s="28" t="s">
        <v>68</v>
      </c>
      <c r="G213" s="28" t="s">
        <v>68</v>
      </c>
      <c r="H213" s="28" t="s">
        <v>68</v>
      </c>
      <c r="I213" s="28">
        <v>7</v>
      </c>
      <c r="J213" s="28">
        <v>10</v>
      </c>
      <c r="K213" s="29">
        <v>1</v>
      </c>
      <c r="L213" s="29">
        <v>0</v>
      </c>
      <c r="M213" s="28">
        <v>10</v>
      </c>
      <c r="N213" s="28">
        <v>0</v>
      </c>
      <c r="O213" s="28">
        <v>14</v>
      </c>
      <c r="P213" s="28">
        <v>10</v>
      </c>
      <c r="Q213" s="28">
        <v>0</v>
      </c>
      <c r="R213" s="28">
        <v>14</v>
      </c>
      <c r="S213" s="28">
        <v>10</v>
      </c>
      <c r="T213" s="29">
        <v>18</v>
      </c>
      <c r="U213" s="30">
        <v>0</v>
      </c>
      <c r="V213" s="28">
        <v>0</v>
      </c>
      <c r="W213" s="28">
        <v>14</v>
      </c>
      <c r="X213" s="28">
        <v>10</v>
      </c>
      <c r="Y213" s="28">
        <v>0</v>
      </c>
      <c r="Z213" s="28">
        <v>14</v>
      </c>
      <c r="AA213" s="28">
        <v>10</v>
      </c>
      <c r="AB213" s="28">
        <v>0</v>
      </c>
      <c r="AC213" s="29">
        <v>8</v>
      </c>
      <c r="AD213" s="30">
        <v>0</v>
      </c>
      <c r="AE213" s="28">
        <v>14</v>
      </c>
      <c r="AF213" s="28">
        <v>10</v>
      </c>
      <c r="AG213" s="28">
        <v>0</v>
      </c>
      <c r="AH213" s="28">
        <v>14</v>
      </c>
      <c r="AI213" s="28">
        <v>10</v>
      </c>
      <c r="AJ213" s="28">
        <v>0</v>
      </c>
      <c r="AK213" s="28">
        <v>14</v>
      </c>
      <c r="AL213" s="29">
        <v>22</v>
      </c>
      <c r="AM213" s="30">
        <v>0</v>
      </c>
    </row>
    <row r="214" spans="1:39" s="1" customFormat="1" ht="16.5" customHeight="1">
      <c r="A214" s="31" t="s">
        <v>36</v>
      </c>
      <c r="B214" s="32" t="s">
        <v>314</v>
      </c>
      <c r="C214" s="32">
        <v>18006750</v>
      </c>
      <c r="D214" s="28">
        <v>10</v>
      </c>
      <c r="E214" s="28">
        <v>10</v>
      </c>
      <c r="F214" s="28">
        <v>8</v>
      </c>
      <c r="G214" s="28">
        <v>7</v>
      </c>
      <c r="H214" s="28">
        <v>14</v>
      </c>
      <c r="I214" s="28">
        <v>10</v>
      </c>
      <c r="J214" s="28">
        <v>0</v>
      </c>
      <c r="K214" s="29">
        <v>19</v>
      </c>
      <c r="L214" s="29">
        <v>8</v>
      </c>
      <c r="M214" s="28">
        <v>0</v>
      </c>
      <c r="N214" s="28">
        <v>14</v>
      </c>
      <c r="O214" s="28">
        <v>10</v>
      </c>
      <c r="P214" s="28">
        <v>0</v>
      </c>
      <c r="Q214" s="28">
        <v>14</v>
      </c>
      <c r="R214" s="28">
        <v>10</v>
      </c>
      <c r="S214" s="28">
        <v>0</v>
      </c>
      <c r="T214" s="29">
        <v>8</v>
      </c>
      <c r="U214" s="30">
        <v>0</v>
      </c>
      <c r="V214" s="28">
        <v>14</v>
      </c>
      <c r="W214" s="28">
        <v>10</v>
      </c>
      <c r="X214" s="28">
        <v>0</v>
      </c>
      <c r="Y214" s="28">
        <v>14</v>
      </c>
      <c r="Z214" s="28">
        <v>10</v>
      </c>
      <c r="AA214" s="28">
        <v>0</v>
      </c>
      <c r="AB214" s="28">
        <v>14</v>
      </c>
      <c r="AC214" s="29">
        <v>22</v>
      </c>
      <c r="AD214" s="30">
        <v>0</v>
      </c>
      <c r="AE214" s="28">
        <v>10</v>
      </c>
      <c r="AF214" s="28">
        <v>0</v>
      </c>
      <c r="AG214" s="28">
        <v>14</v>
      </c>
      <c r="AH214" s="28">
        <v>10</v>
      </c>
      <c r="AI214" s="28">
        <v>0</v>
      </c>
      <c r="AJ214" s="28">
        <v>14</v>
      </c>
      <c r="AK214" s="28">
        <v>10</v>
      </c>
      <c r="AL214" s="29">
        <v>18</v>
      </c>
      <c r="AM214" s="30">
        <v>0</v>
      </c>
    </row>
    <row r="215" spans="1:39" s="1" customFormat="1" ht="16.5" customHeight="1">
      <c r="A215" s="31" t="s">
        <v>46</v>
      </c>
      <c r="B215" s="32" t="s">
        <v>314</v>
      </c>
      <c r="C215" s="32">
        <v>18004113</v>
      </c>
      <c r="D215" s="28">
        <v>10</v>
      </c>
      <c r="E215" s="28">
        <v>0</v>
      </c>
      <c r="F215" s="28">
        <v>8</v>
      </c>
      <c r="G215" s="28">
        <v>10</v>
      </c>
      <c r="H215" s="28">
        <v>0</v>
      </c>
      <c r="I215" s="28">
        <v>14</v>
      </c>
      <c r="J215" s="28">
        <v>10</v>
      </c>
      <c r="K215" s="29">
        <v>12</v>
      </c>
      <c r="L215" s="29">
        <v>8</v>
      </c>
      <c r="M215" s="28">
        <v>0</v>
      </c>
      <c r="N215" s="28">
        <v>14</v>
      </c>
      <c r="O215" s="28">
        <v>10</v>
      </c>
      <c r="P215" s="28">
        <v>0</v>
      </c>
      <c r="Q215" s="28">
        <v>14</v>
      </c>
      <c r="R215" s="28">
        <v>10</v>
      </c>
      <c r="S215" s="28">
        <v>0</v>
      </c>
      <c r="T215" s="29">
        <v>8</v>
      </c>
      <c r="U215" s="30">
        <v>0</v>
      </c>
      <c r="V215" s="28">
        <v>14</v>
      </c>
      <c r="W215" s="28">
        <v>10</v>
      </c>
      <c r="X215" s="28">
        <v>0</v>
      </c>
      <c r="Y215" s="28">
        <v>14</v>
      </c>
      <c r="Z215" s="28">
        <v>10</v>
      </c>
      <c r="AA215" s="28">
        <v>0</v>
      </c>
      <c r="AB215" s="28">
        <v>14</v>
      </c>
      <c r="AC215" s="29">
        <v>22</v>
      </c>
      <c r="AD215" s="30">
        <v>0</v>
      </c>
      <c r="AE215" s="28">
        <v>10</v>
      </c>
      <c r="AF215" s="28">
        <v>0</v>
      </c>
      <c r="AG215" s="28">
        <v>14</v>
      </c>
      <c r="AH215" s="28">
        <v>10</v>
      </c>
      <c r="AI215" s="28">
        <v>0</v>
      </c>
      <c r="AJ215" s="28">
        <v>14</v>
      </c>
      <c r="AK215" s="28">
        <v>10</v>
      </c>
      <c r="AL215" s="29">
        <v>18</v>
      </c>
      <c r="AM215" s="30">
        <v>0</v>
      </c>
    </row>
    <row r="216" spans="1:39" s="1" customFormat="1" ht="16.5" customHeight="1">
      <c r="A216" s="31" t="s">
        <v>45</v>
      </c>
      <c r="B216" s="32" t="s">
        <v>314</v>
      </c>
      <c r="C216" s="32">
        <v>18006066</v>
      </c>
      <c r="D216" s="28">
        <v>0</v>
      </c>
      <c r="E216" s="28">
        <v>0</v>
      </c>
      <c r="F216" s="28" t="s">
        <v>68</v>
      </c>
      <c r="G216" s="28" t="s">
        <v>68</v>
      </c>
      <c r="H216" s="28" t="s">
        <v>68</v>
      </c>
      <c r="I216" s="28" t="s">
        <v>68</v>
      </c>
      <c r="J216" s="28" t="s">
        <v>68</v>
      </c>
      <c r="K216" s="29">
        <v>0</v>
      </c>
      <c r="L216" s="29">
        <v>0</v>
      </c>
      <c r="M216" s="28">
        <v>0</v>
      </c>
      <c r="N216" s="28">
        <v>0</v>
      </c>
      <c r="O216" s="28" t="s">
        <v>68</v>
      </c>
      <c r="P216" s="28" t="s">
        <v>68</v>
      </c>
      <c r="Q216" s="28" t="s">
        <v>68</v>
      </c>
      <c r="R216" s="28" t="s">
        <v>68</v>
      </c>
      <c r="S216" s="28" t="s">
        <v>68</v>
      </c>
      <c r="T216" s="29">
        <v>0</v>
      </c>
      <c r="U216" s="30">
        <v>0</v>
      </c>
      <c r="V216" s="28">
        <v>0</v>
      </c>
      <c r="W216" s="28">
        <v>0</v>
      </c>
      <c r="X216" s="28" t="s">
        <v>68</v>
      </c>
      <c r="Y216" s="28" t="s">
        <v>68</v>
      </c>
      <c r="Z216" s="28" t="s">
        <v>68</v>
      </c>
      <c r="AA216" s="28" t="s">
        <v>68</v>
      </c>
      <c r="AB216" s="28" t="s">
        <v>68</v>
      </c>
      <c r="AC216" s="29">
        <v>0</v>
      </c>
      <c r="AD216" s="30">
        <v>0</v>
      </c>
      <c r="AE216" s="28">
        <v>0</v>
      </c>
      <c r="AF216" s="28">
        <v>0</v>
      </c>
      <c r="AG216" s="28" t="s">
        <v>68</v>
      </c>
      <c r="AH216" s="28" t="s">
        <v>68</v>
      </c>
      <c r="AI216" s="28" t="s">
        <v>68</v>
      </c>
      <c r="AJ216" s="28" t="s">
        <v>68</v>
      </c>
      <c r="AK216" s="28" t="s">
        <v>68</v>
      </c>
      <c r="AL216" s="29">
        <v>0</v>
      </c>
      <c r="AM216" s="30">
        <v>0</v>
      </c>
    </row>
    <row r="217" spans="1:39" s="1" customFormat="1" ht="16.5" customHeight="1">
      <c r="A217" s="31" t="s">
        <v>41</v>
      </c>
      <c r="B217" s="32" t="s">
        <v>314</v>
      </c>
      <c r="C217" s="32">
        <v>18006765</v>
      </c>
      <c r="D217" s="28">
        <v>0</v>
      </c>
      <c r="E217" s="28">
        <v>14</v>
      </c>
      <c r="F217" s="28">
        <v>8</v>
      </c>
      <c r="G217" s="28">
        <v>0</v>
      </c>
      <c r="H217" s="28">
        <v>14</v>
      </c>
      <c r="I217" s="28">
        <v>10</v>
      </c>
      <c r="J217" s="28">
        <v>0</v>
      </c>
      <c r="K217" s="29">
        <v>6</v>
      </c>
      <c r="L217" s="29">
        <v>8</v>
      </c>
      <c r="M217" s="28">
        <v>14</v>
      </c>
      <c r="N217" s="28">
        <v>10</v>
      </c>
      <c r="O217" s="28">
        <v>0</v>
      </c>
      <c r="P217" s="28">
        <v>14</v>
      </c>
      <c r="Q217" s="28">
        <v>10</v>
      </c>
      <c r="R217" s="28">
        <v>0</v>
      </c>
      <c r="S217" s="28">
        <v>10</v>
      </c>
      <c r="T217" s="29">
        <v>18</v>
      </c>
      <c r="U217" s="30">
        <v>0</v>
      </c>
      <c r="V217" s="28">
        <v>0</v>
      </c>
      <c r="W217" s="28">
        <v>14</v>
      </c>
      <c r="X217" s="28">
        <v>10</v>
      </c>
      <c r="Y217" s="28">
        <v>0</v>
      </c>
      <c r="Z217" s="28">
        <v>14</v>
      </c>
      <c r="AA217" s="28">
        <v>10</v>
      </c>
      <c r="AB217" s="28">
        <v>0</v>
      </c>
      <c r="AC217" s="29">
        <v>8</v>
      </c>
      <c r="AD217" s="30">
        <v>0</v>
      </c>
      <c r="AE217" s="28">
        <v>14</v>
      </c>
      <c r="AF217" s="28">
        <v>10</v>
      </c>
      <c r="AG217" s="28">
        <v>0</v>
      </c>
      <c r="AH217" s="28">
        <v>14</v>
      </c>
      <c r="AI217" s="28">
        <v>10</v>
      </c>
      <c r="AJ217" s="28">
        <v>0</v>
      </c>
      <c r="AK217" s="28">
        <v>14</v>
      </c>
      <c r="AL217" s="29">
        <v>22</v>
      </c>
      <c r="AM217" s="30">
        <v>0</v>
      </c>
    </row>
    <row r="218" spans="1:39" s="1" customFormat="1" ht="16.5" customHeight="1">
      <c r="A218" s="31" t="s">
        <v>42</v>
      </c>
      <c r="B218" s="32" t="s">
        <v>314</v>
      </c>
      <c r="C218" s="32">
        <v>18004547</v>
      </c>
      <c r="D218" s="28">
        <v>14</v>
      </c>
      <c r="E218" s="28">
        <v>10</v>
      </c>
      <c r="F218" s="28">
        <v>8</v>
      </c>
      <c r="G218" s="28">
        <v>14</v>
      </c>
      <c r="H218" s="28">
        <v>10</v>
      </c>
      <c r="I218" s="28">
        <v>0</v>
      </c>
      <c r="J218" s="28">
        <v>14</v>
      </c>
      <c r="K218" s="29">
        <v>30</v>
      </c>
      <c r="L218" s="29">
        <v>8</v>
      </c>
      <c r="M218" s="28">
        <v>10</v>
      </c>
      <c r="N218" s="28">
        <v>0</v>
      </c>
      <c r="O218" s="28">
        <v>14</v>
      </c>
      <c r="P218" s="28">
        <v>10</v>
      </c>
      <c r="Q218" s="28">
        <v>0</v>
      </c>
      <c r="R218" s="28">
        <v>14</v>
      </c>
      <c r="S218" s="28">
        <v>14</v>
      </c>
      <c r="T218" s="29">
        <v>22</v>
      </c>
      <c r="U218" s="30">
        <v>0</v>
      </c>
      <c r="V218" s="28">
        <v>10</v>
      </c>
      <c r="W218" s="28">
        <v>0</v>
      </c>
      <c r="X218" s="28">
        <v>14</v>
      </c>
      <c r="Y218" s="28">
        <v>10</v>
      </c>
      <c r="Z218" s="28">
        <v>0</v>
      </c>
      <c r="AA218" s="28">
        <v>14</v>
      </c>
      <c r="AB218" s="28">
        <v>10</v>
      </c>
      <c r="AC218" s="29">
        <v>18</v>
      </c>
      <c r="AD218" s="30">
        <v>0</v>
      </c>
      <c r="AE218" s="28">
        <v>0</v>
      </c>
      <c r="AF218" s="28">
        <v>14</v>
      </c>
      <c r="AG218" s="28">
        <v>10</v>
      </c>
      <c r="AH218" s="28">
        <v>0</v>
      </c>
      <c r="AI218" s="28">
        <v>14</v>
      </c>
      <c r="AJ218" s="28">
        <v>10</v>
      </c>
      <c r="AK218" s="28">
        <v>0</v>
      </c>
      <c r="AL218" s="29">
        <v>8</v>
      </c>
      <c r="AM218" s="30">
        <v>0</v>
      </c>
    </row>
    <row r="219" spans="1:39" s="1" customFormat="1" ht="16.5" customHeight="1">
      <c r="A219" s="31" t="s">
        <v>38</v>
      </c>
      <c r="B219" s="32" t="s">
        <v>314</v>
      </c>
      <c r="C219" s="32">
        <v>18006748</v>
      </c>
      <c r="D219" s="28">
        <v>0</v>
      </c>
      <c r="E219" s="28">
        <v>14</v>
      </c>
      <c r="F219" s="28">
        <v>12</v>
      </c>
      <c r="G219" s="28">
        <v>10</v>
      </c>
      <c r="H219" s="28">
        <v>10</v>
      </c>
      <c r="I219" s="28">
        <v>0</v>
      </c>
      <c r="J219" s="28">
        <v>0</v>
      </c>
      <c r="K219" s="29">
        <v>2</v>
      </c>
      <c r="L219" s="29">
        <v>12</v>
      </c>
      <c r="M219" s="28">
        <v>14</v>
      </c>
      <c r="N219" s="28">
        <v>14</v>
      </c>
      <c r="O219" s="28">
        <v>10</v>
      </c>
      <c r="P219" s="28">
        <v>10</v>
      </c>
      <c r="Q219" s="28">
        <v>0</v>
      </c>
      <c r="R219" s="28">
        <v>0</v>
      </c>
      <c r="S219" s="28">
        <v>14</v>
      </c>
      <c r="T219" s="29">
        <v>22</v>
      </c>
      <c r="U219" s="30">
        <v>0</v>
      </c>
      <c r="V219" s="28">
        <v>14</v>
      </c>
      <c r="W219" s="28">
        <v>10</v>
      </c>
      <c r="X219" s="28">
        <v>10</v>
      </c>
      <c r="Y219" s="28">
        <v>0</v>
      </c>
      <c r="Z219" s="28">
        <v>0</v>
      </c>
      <c r="AA219" s="28">
        <v>14</v>
      </c>
      <c r="AB219" s="28">
        <v>14</v>
      </c>
      <c r="AC219" s="29">
        <v>22</v>
      </c>
      <c r="AD219" s="30">
        <v>0</v>
      </c>
      <c r="AE219" s="28">
        <v>10</v>
      </c>
      <c r="AF219" s="28">
        <v>10</v>
      </c>
      <c r="AG219" s="28">
        <v>0</v>
      </c>
      <c r="AH219" s="28">
        <v>0</v>
      </c>
      <c r="AI219" s="28">
        <v>14</v>
      </c>
      <c r="AJ219" s="28">
        <v>14</v>
      </c>
      <c r="AK219" s="28">
        <v>10</v>
      </c>
      <c r="AL219" s="29">
        <v>18</v>
      </c>
      <c r="AM219" s="30">
        <v>0</v>
      </c>
    </row>
    <row r="220" spans="1:39" s="1" customFormat="1" ht="16.5" customHeight="1">
      <c r="A220" s="31" t="s">
        <v>35</v>
      </c>
      <c r="B220" s="32" t="s">
        <v>314</v>
      </c>
      <c r="C220" s="32">
        <v>18006552</v>
      </c>
      <c r="D220" s="28">
        <v>10</v>
      </c>
      <c r="E220" s="28">
        <v>10</v>
      </c>
      <c r="F220" s="28">
        <v>8</v>
      </c>
      <c r="G220" s="28">
        <v>0</v>
      </c>
      <c r="H220" s="28">
        <v>14</v>
      </c>
      <c r="I220" s="28">
        <v>14</v>
      </c>
      <c r="J220" s="28">
        <v>10</v>
      </c>
      <c r="K220" s="29">
        <v>26</v>
      </c>
      <c r="L220" s="29">
        <v>8</v>
      </c>
      <c r="M220" s="28">
        <v>10</v>
      </c>
      <c r="N220" s="28">
        <v>0</v>
      </c>
      <c r="O220" s="28">
        <v>0</v>
      </c>
      <c r="P220" s="28">
        <v>14</v>
      </c>
      <c r="Q220" s="28">
        <v>14</v>
      </c>
      <c r="R220" s="28">
        <v>10</v>
      </c>
      <c r="S220" s="28">
        <v>10</v>
      </c>
      <c r="T220" s="29">
        <v>18</v>
      </c>
      <c r="U220" s="30">
        <v>0</v>
      </c>
      <c r="V220" s="28">
        <v>0</v>
      </c>
      <c r="W220" s="28">
        <v>0</v>
      </c>
      <c r="X220" s="28">
        <v>14</v>
      </c>
      <c r="Y220" s="28">
        <v>14</v>
      </c>
      <c r="Z220" s="28">
        <v>10</v>
      </c>
      <c r="AA220" s="28">
        <v>10</v>
      </c>
      <c r="AB220" s="28">
        <v>0</v>
      </c>
      <c r="AC220" s="29">
        <v>8</v>
      </c>
      <c r="AD220" s="30">
        <v>0</v>
      </c>
      <c r="AE220" s="28">
        <v>0</v>
      </c>
      <c r="AF220" s="28">
        <v>14</v>
      </c>
      <c r="AG220" s="28">
        <v>14</v>
      </c>
      <c r="AH220" s="28">
        <v>10</v>
      </c>
      <c r="AI220" s="28">
        <v>10</v>
      </c>
      <c r="AJ220" s="28">
        <v>0</v>
      </c>
      <c r="AK220" s="28">
        <v>0</v>
      </c>
      <c r="AL220" s="29">
        <v>8</v>
      </c>
      <c r="AM220" s="30">
        <v>0</v>
      </c>
    </row>
    <row r="221" spans="1:39" s="1" customFormat="1" ht="16.5" customHeight="1">
      <c r="A221" s="31" t="s">
        <v>98</v>
      </c>
      <c r="B221" s="32" t="s">
        <v>314</v>
      </c>
      <c r="C221" s="32">
        <v>18006553</v>
      </c>
      <c r="D221" s="28">
        <v>0</v>
      </c>
      <c r="E221" s="28">
        <v>0</v>
      </c>
      <c r="F221" s="28">
        <v>8</v>
      </c>
      <c r="G221" s="28">
        <v>14</v>
      </c>
      <c r="H221" s="28">
        <v>10</v>
      </c>
      <c r="I221" s="28">
        <v>10</v>
      </c>
      <c r="J221" s="28">
        <v>0</v>
      </c>
      <c r="K221" s="29">
        <v>2</v>
      </c>
      <c r="L221" s="29">
        <v>8</v>
      </c>
      <c r="M221" s="28">
        <v>0</v>
      </c>
      <c r="N221" s="28">
        <v>14</v>
      </c>
      <c r="O221" s="28">
        <v>14</v>
      </c>
      <c r="P221" s="28">
        <v>10</v>
      </c>
      <c r="Q221" s="28">
        <v>10</v>
      </c>
      <c r="R221" s="28">
        <v>0</v>
      </c>
      <c r="S221" s="28">
        <v>0</v>
      </c>
      <c r="T221" s="29">
        <v>8</v>
      </c>
      <c r="U221" s="30">
        <v>0</v>
      </c>
      <c r="V221" s="28">
        <v>14</v>
      </c>
      <c r="W221" s="28">
        <v>14</v>
      </c>
      <c r="X221" s="28">
        <v>10</v>
      </c>
      <c r="Y221" s="28">
        <v>10</v>
      </c>
      <c r="Z221" s="28">
        <v>0</v>
      </c>
      <c r="AA221" s="28">
        <v>0</v>
      </c>
      <c r="AB221" s="28">
        <v>14</v>
      </c>
      <c r="AC221" s="29">
        <v>22</v>
      </c>
      <c r="AD221" s="30">
        <v>0</v>
      </c>
      <c r="AE221" s="28">
        <v>14</v>
      </c>
      <c r="AF221" s="28">
        <v>10</v>
      </c>
      <c r="AG221" s="28">
        <v>10</v>
      </c>
      <c r="AH221" s="28">
        <v>0</v>
      </c>
      <c r="AI221" s="28">
        <v>0</v>
      </c>
      <c r="AJ221" s="28">
        <v>14</v>
      </c>
      <c r="AK221" s="28">
        <v>14</v>
      </c>
      <c r="AL221" s="29">
        <v>22</v>
      </c>
      <c r="AM221" s="30">
        <v>0</v>
      </c>
    </row>
    <row r="222" spans="1:39" s="1" customFormat="1" ht="16.5" customHeight="1">
      <c r="A222" s="31" t="s">
        <v>40</v>
      </c>
      <c r="B222" s="32" t="s">
        <v>314</v>
      </c>
      <c r="C222" s="32">
        <v>18003911</v>
      </c>
      <c r="D222" s="28">
        <v>0</v>
      </c>
      <c r="E222" s="28">
        <v>0</v>
      </c>
      <c r="F222" s="28" t="s">
        <v>68</v>
      </c>
      <c r="G222" s="28" t="s">
        <v>68</v>
      </c>
      <c r="H222" s="28" t="s">
        <v>68</v>
      </c>
      <c r="I222" s="28" t="s">
        <v>68</v>
      </c>
      <c r="J222" s="28" t="s">
        <v>68</v>
      </c>
      <c r="K222" s="29">
        <v>0</v>
      </c>
      <c r="L222" s="29">
        <v>0</v>
      </c>
      <c r="M222" s="28">
        <v>0</v>
      </c>
      <c r="N222" s="28">
        <v>0</v>
      </c>
      <c r="O222" s="28" t="s">
        <v>68</v>
      </c>
      <c r="P222" s="28" t="s">
        <v>68</v>
      </c>
      <c r="Q222" s="28" t="s">
        <v>68</v>
      </c>
      <c r="R222" s="28">
        <v>14</v>
      </c>
      <c r="S222" s="28">
        <v>14</v>
      </c>
      <c r="T222" s="29">
        <v>12</v>
      </c>
      <c r="U222" s="30">
        <v>0</v>
      </c>
      <c r="V222" s="28">
        <v>10</v>
      </c>
      <c r="W222" s="28">
        <v>10</v>
      </c>
      <c r="X222" s="28">
        <v>0</v>
      </c>
      <c r="Y222" s="28">
        <v>0</v>
      </c>
      <c r="Z222" s="28">
        <v>14</v>
      </c>
      <c r="AA222" s="28">
        <v>14</v>
      </c>
      <c r="AB222" s="28">
        <v>10</v>
      </c>
      <c r="AC222" s="29">
        <v>18</v>
      </c>
      <c r="AD222" s="30">
        <v>0</v>
      </c>
      <c r="AE222" s="28">
        <v>10</v>
      </c>
      <c r="AF222" s="28">
        <v>0</v>
      </c>
      <c r="AG222" s="28">
        <v>0</v>
      </c>
      <c r="AH222" s="28">
        <v>14</v>
      </c>
      <c r="AI222" s="28">
        <v>14</v>
      </c>
      <c r="AJ222" s="28">
        <v>10</v>
      </c>
      <c r="AK222" s="28">
        <v>10</v>
      </c>
      <c r="AL222" s="29">
        <v>18</v>
      </c>
      <c r="AM222" s="30">
        <v>0</v>
      </c>
    </row>
    <row r="223" spans="1:39" s="1" customFormat="1" ht="16.5" customHeight="1">
      <c r="A223" s="31" t="s">
        <v>39</v>
      </c>
      <c r="B223" s="32" t="s">
        <v>314</v>
      </c>
      <c r="C223" s="32">
        <v>18004337</v>
      </c>
      <c r="D223" s="28">
        <v>14</v>
      </c>
      <c r="E223" s="28">
        <v>14</v>
      </c>
      <c r="F223" s="28">
        <v>8</v>
      </c>
      <c r="G223" s="28">
        <v>10</v>
      </c>
      <c r="H223" s="28">
        <v>0</v>
      </c>
      <c r="I223" s="28">
        <v>0</v>
      </c>
      <c r="J223" s="28">
        <v>14</v>
      </c>
      <c r="K223" s="29">
        <v>20</v>
      </c>
      <c r="L223" s="29">
        <v>8</v>
      </c>
      <c r="M223" s="28">
        <v>14</v>
      </c>
      <c r="N223" s="28">
        <v>10</v>
      </c>
      <c r="O223" s="28">
        <v>10</v>
      </c>
      <c r="P223" s="28">
        <v>0</v>
      </c>
      <c r="Q223" s="28">
        <v>0</v>
      </c>
      <c r="R223" s="28" t="s">
        <v>68</v>
      </c>
      <c r="S223" s="28" t="s">
        <v>68</v>
      </c>
      <c r="T223" s="29">
        <v>10</v>
      </c>
      <c r="U223" s="30">
        <v>0</v>
      </c>
      <c r="V223" s="28">
        <v>0</v>
      </c>
      <c r="W223" s="28">
        <v>0</v>
      </c>
      <c r="X223" s="28" t="s">
        <v>68</v>
      </c>
      <c r="Y223" s="28" t="s">
        <v>68</v>
      </c>
      <c r="Z223" s="28" t="s">
        <v>68</v>
      </c>
      <c r="AA223" s="28">
        <v>14</v>
      </c>
      <c r="AB223" s="28">
        <v>14</v>
      </c>
      <c r="AC223" s="29">
        <v>12</v>
      </c>
      <c r="AD223" s="30">
        <v>0</v>
      </c>
      <c r="AE223" s="28">
        <v>10</v>
      </c>
      <c r="AF223" s="28">
        <v>10</v>
      </c>
      <c r="AG223" s="28">
        <v>0</v>
      </c>
      <c r="AH223" s="28">
        <v>0</v>
      </c>
      <c r="AI223" s="28">
        <v>14</v>
      </c>
      <c r="AJ223" s="28">
        <v>14</v>
      </c>
      <c r="AK223" s="28">
        <v>10</v>
      </c>
      <c r="AL223" s="29">
        <v>18</v>
      </c>
      <c r="AM223" s="30">
        <v>0</v>
      </c>
    </row>
    <row r="224" spans="1:39" s="1" customFormat="1" ht="16.5" customHeight="1">
      <c r="A224" s="31" t="s">
        <v>43</v>
      </c>
      <c r="B224" s="32" t="s">
        <v>314</v>
      </c>
      <c r="C224" s="32">
        <v>18004462</v>
      </c>
      <c r="D224" s="28">
        <v>10</v>
      </c>
      <c r="E224" s="28">
        <v>0</v>
      </c>
      <c r="F224" s="28">
        <v>8</v>
      </c>
      <c r="G224" s="28">
        <v>14</v>
      </c>
      <c r="H224" s="28">
        <v>14</v>
      </c>
      <c r="I224" s="28">
        <v>10</v>
      </c>
      <c r="J224" s="28">
        <v>10</v>
      </c>
      <c r="K224" s="29">
        <v>26</v>
      </c>
      <c r="L224" s="29">
        <v>8</v>
      </c>
      <c r="M224" s="28">
        <v>0</v>
      </c>
      <c r="N224" s="28">
        <v>0</v>
      </c>
      <c r="O224" s="28">
        <v>14</v>
      </c>
      <c r="P224" s="28">
        <v>14</v>
      </c>
      <c r="Q224" s="28">
        <v>10</v>
      </c>
      <c r="R224" s="28">
        <v>10</v>
      </c>
      <c r="S224" s="28">
        <v>0</v>
      </c>
      <c r="T224" s="29">
        <v>8</v>
      </c>
      <c r="U224" s="30">
        <v>0</v>
      </c>
      <c r="V224" s="28">
        <v>0</v>
      </c>
      <c r="W224" s="28">
        <v>14</v>
      </c>
      <c r="X224" s="28">
        <v>14</v>
      </c>
      <c r="Y224" s="28">
        <v>10</v>
      </c>
      <c r="Z224" s="28">
        <v>10</v>
      </c>
      <c r="AA224" s="28">
        <v>0</v>
      </c>
      <c r="AB224" s="28">
        <v>0</v>
      </c>
      <c r="AC224" s="29">
        <v>8</v>
      </c>
      <c r="AD224" s="30">
        <v>0</v>
      </c>
      <c r="AE224" s="28">
        <v>14</v>
      </c>
      <c r="AF224" s="28">
        <v>14</v>
      </c>
      <c r="AG224" s="28">
        <v>10</v>
      </c>
      <c r="AH224" s="28">
        <v>10</v>
      </c>
      <c r="AI224" s="28">
        <v>0</v>
      </c>
      <c r="AJ224" s="28">
        <v>0</v>
      </c>
      <c r="AK224" s="28">
        <v>14</v>
      </c>
      <c r="AL224" s="29">
        <v>22</v>
      </c>
      <c r="AM224" s="30">
        <v>0</v>
      </c>
    </row>
    <row r="225" spans="1:39" s="1" customFormat="1" ht="16.5" customHeight="1">
      <c r="A225" s="31" t="s">
        <v>44</v>
      </c>
      <c r="B225" s="32" t="s">
        <v>314</v>
      </c>
      <c r="C225" s="32">
        <v>18004568</v>
      </c>
      <c r="D225" s="28">
        <v>14</v>
      </c>
      <c r="E225" s="28">
        <v>10</v>
      </c>
      <c r="F225" s="28">
        <v>8</v>
      </c>
      <c r="G225" s="28">
        <v>0</v>
      </c>
      <c r="H225" s="28">
        <v>0</v>
      </c>
      <c r="I225" s="28">
        <v>14</v>
      </c>
      <c r="J225" s="28">
        <v>14</v>
      </c>
      <c r="K225" s="29">
        <v>20</v>
      </c>
      <c r="L225" s="29">
        <v>8</v>
      </c>
      <c r="M225" s="28">
        <v>10</v>
      </c>
      <c r="N225" s="28">
        <v>10</v>
      </c>
      <c r="O225" s="28">
        <v>0</v>
      </c>
      <c r="P225" s="28">
        <v>0</v>
      </c>
      <c r="Q225" s="28">
        <v>14</v>
      </c>
      <c r="R225" s="28">
        <v>14</v>
      </c>
      <c r="S225" s="28">
        <v>10</v>
      </c>
      <c r="T225" s="29">
        <v>18</v>
      </c>
      <c r="U225" s="30">
        <v>0</v>
      </c>
      <c r="V225" s="28">
        <v>10</v>
      </c>
      <c r="W225" s="28">
        <v>0</v>
      </c>
      <c r="X225" s="28">
        <v>0</v>
      </c>
      <c r="Y225" s="28">
        <v>14</v>
      </c>
      <c r="Z225" s="28">
        <v>14</v>
      </c>
      <c r="AA225" s="28">
        <v>10</v>
      </c>
      <c r="AB225" s="28">
        <v>10</v>
      </c>
      <c r="AC225" s="29">
        <v>18</v>
      </c>
      <c r="AD225" s="30">
        <v>0</v>
      </c>
      <c r="AE225" s="28">
        <v>0</v>
      </c>
      <c r="AF225" s="28">
        <v>0</v>
      </c>
      <c r="AG225" s="28">
        <v>14</v>
      </c>
      <c r="AH225" s="28">
        <v>14</v>
      </c>
      <c r="AI225" s="28">
        <v>10</v>
      </c>
      <c r="AJ225" s="28">
        <v>10</v>
      </c>
      <c r="AK225" s="28">
        <v>0</v>
      </c>
      <c r="AL225" s="29">
        <v>8</v>
      </c>
      <c r="AM225" s="30">
        <v>0</v>
      </c>
    </row>
    <row r="226" spans="1:39" s="1" customFormat="1" ht="16.5" customHeight="1">
      <c r="A226" s="31" t="s">
        <v>123</v>
      </c>
      <c r="B226" s="32" t="s">
        <v>314</v>
      </c>
      <c r="C226" s="32">
        <v>18006762</v>
      </c>
      <c r="D226" s="28">
        <v>14</v>
      </c>
      <c r="E226" s="28">
        <v>14</v>
      </c>
      <c r="F226" s="28">
        <v>8</v>
      </c>
      <c r="G226" s="28">
        <v>10</v>
      </c>
      <c r="H226" s="28">
        <v>0</v>
      </c>
      <c r="I226" s="28">
        <v>0</v>
      </c>
      <c r="J226" s="28">
        <v>14</v>
      </c>
      <c r="K226" s="29">
        <v>20</v>
      </c>
      <c r="L226" s="29">
        <v>8</v>
      </c>
      <c r="M226" s="28">
        <v>14</v>
      </c>
      <c r="N226" s="28">
        <v>10</v>
      </c>
      <c r="O226" s="28">
        <v>10</v>
      </c>
      <c r="P226" s="28">
        <v>0</v>
      </c>
      <c r="Q226" s="28">
        <v>0</v>
      </c>
      <c r="R226" s="28">
        <v>14</v>
      </c>
      <c r="S226" s="28">
        <v>14</v>
      </c>
      <c r="T226" s="29">
        <v>22</v>
      </c>
      <c r="U226" s="30">
        <v>0</v>
      </c>
      <c r="V226" s="28">
        <v>0</v>
      </c>
      <c r="W226" s="28">
        <v>10</v>
      </c>
      <c r="X226" s="28">
        <v>0</v>
      </c>
      <c r="Y226" s="28">
        <v>0</v>
      </c>
      <c r="Z226" s="28">
        <v>14</v>
      </c>
      <c r="AA226" s="28">
        <v>14</v>
      </c>
      <c r="AB226" s="28">
        <v>10</v>
      </c>
      <c r="AC226" s="29">
        <v>8</v>
      </c>
      <c r="AD226" s="30">
        <v>0</v>
      </c>
      <c r="AE226" s="28">
        <v>10</v>
      </c>
      <c r="AF226" s="28">
        <v>0</v>
      </c>
      <c r="AG226" s="28">
        <v>0</v>
      </c>
      <c r="AH226" s="28">
        <v>14</v>
      </c>
      <c r="AI226" s="28">
        <v>14</v>
      </c>
      <c r="AJ226" s="28">
        <v>10</v>
      </c>
      <c r="AK226" s="28">
        <v>10</v>
      </c>
      <c r="AL226" s="29">
        <v>18</v>
      </c>
      <c r="AM226" s="30">
        <v>0</v>
      </c>
    </row>
    <row r="227" spans="1:39" s="1" customFormat="1" ht="16.5" customHeight="1">
      <c r="A227" s="31" t="s">
        <v>111</v>
      </c>
      <c r="B227" s="32" t="s">
        <v>314</v>
      </c>
      <c r="C227" s="32">
        <v>18006942</v>
      </c>
      <c r="D227" s="28">
        <v>0</v>
      </c>
      <c r="E227" s="28">
        <v>0</v>
      </c>
      <c r="F227" s="28">
        <v>8</v>
      </c>
      <c r="G227" s="28">
        <v>14</v>
      </c>
      <c r="H227" s="28">
        <v>10</v>
      </c>
      <c r="I227" s="28">
        <v>10</v>
      </c>
      <c r="J227" s="28">
        <v>0</v>
      </c>
      <c r="K227" s="29">
        <v>2</v>
      </c>
      <c r="L227" s="29">
        <v>8</v>
      </c>
      <c r="M227" s="28">
        <v>0</v>
      </c>
      <c r="N227" s="28">
        <v>14</v>
      </c>
      <c r="O227" s="28">
        <v>14</v>
      </c>
      <c r="P227" s="28">
        <v>10</v>
      </c>
      <c r="Q227" s="28">
        <v>10</v>
      </c>
      <c r="R227" s="28">
        <v>0</v>
      </c>
      <c r="S227" s="28">
        <v>0</v>
      </c>
      <c r="T227" s="29">
        <v>8</v>
      </c>
      <c r="U227" s="30">
        <v>0</v>
      </c>
      <c r="V227" s="28">
        <v>14</v>
      </c>
      <c r="W227" s="28">
        <v>0</v>
      </c>
      <c r="X227" s="28">
        <v>10</v>
      </c>
      <c r="Y227" s="28">
        <v>10</v>
      </c>
      <c r="Z227" s="28">
        <v>0</v>
      </c>
      <c r="AA227" s="28">
        <v>0</v>
      </c>
      <c r="AB227" s="28">
        <v>14</v>
      </c>
      <c r="AC227" s="29">
        <v>8</v>
      </c>
      <c r="AD227" s="30">
        <v>0</v>
      </c>
      <c r="AE227" s="28">
        <v>14</v>
      </c>
      <c r="AF227" s="28">
        <v>10</v>
      </c>
      <c r="AG227" s="28">
        <v>10</v>
      </c>
      <c r="AH227" s="28">
        <v>0</v>
      </c>
      <c r="AI227" s="28">
        <v>0</v>
      </c>
      <c r="AJ227" s="28">
        <v>14</v>
      </c>
      <c r="AK227" s="28">
        <v>14</v>
      </c>
      <c r="AL227" s="29">
        <v>22</v>
      </c>
      <c r="AM227" s="30">
        <v>0</v>
      </c>
    </row>
    <row r="228" spans="1:39" s="1" customFormat="1" ht="16.5" customHeight="1">
      <c r="A228" s="31" t="s">
        <v>124</v>
      </c>
      <c r="B228" s="32" t="s">
        <v>314</v>
      </c>
      <c r="C228" s="32">
        <v>18004151</v>
      </c>
      <c r="D228" s="28">
        <v>10</v>
      </c>
      <c r="E228" s="28">
        <v>10</v>
      </c>
      <c r="F228" s="28">
        <v>8</v>
      </c>
      <c r="G228" s="28">
        <v>0</v>
      </c>
      <c r="H228" s="28">
        <v>14</v>
      </c>
      <c r="I228" s="28">
        <v>14</v>
      </c>
      <c r="J228" s="28">
        <v>10</v>
      </c>
      <c r="K228" s="29">
        <v>26</v>
      </c>
      <c r="L228" s="29">
        <v>8</v>
      </c>
      <c r="M228" s="28">
        <v>10</v>
      </c>
      <c r="N228" s="28">
        <v>0</v>
      </c>
      <c r="O228" s="28">
        <v>0</v>
      </c>
      <c r="P228" s="28">
        <v>14</v>
      </c>
      <c r="Q228" s="28">
        <v>14</v>
      </c>
      <c r="R228" s="28">
        <v>10</v>
      </c>
      <c r="S228" s="28">
        <v>10</v>
      </c>
      <c r="T228" s="29">
        <v>18</v>
      </c>
      <c r="U228" s="30">
        <v>0</v>
      </c>
      <c r="V228" s="28">
        <v>0</v>
      </c>
      <c r="W228" s="28">
        <v>0</v>
      </c>
      <c r="X228" s="28">
        <v>14</v>
      </c>
      <c r="Y228" s="28">
        <v>14</v>
      </c>
      <c r="Z228" s="28">
        <v>10</v>
      </c>
      <c r="AA228" s="28">
        <v>10</v>
      </c>
      <c r="AB228" s="28">
        <v>0</v>
      </c>
      <c r="AC228" s="29">
        <v>8</v>
      </c>
      <c r="AD228" s="30">
        <v>0</v>
      </c>
      <c r="AE228" s="28">
        <v>0</v>
      </c>
      <c r="AF228" s="28">
        <v>14</v>
      </c>
      <c r="AG228" s="28">
        <v>14</v>
      </c>
      <c r="AH228" s="28">
        <v>10</v>
      </c>
      <c r="AI228" s="28">
        <v>10</v>
      </c>
      <c r="AJ228" s="28">
        <v>0</v>
      </c>
      <c r="AK228" s="28">
        <v>0</v>
      </c>
      <c r="AL228" s="29">
        <v>8</v>
      </c>
      <c r="AM228" s="30">
        <v>0</v>
      </c>
    </row>
    <row r="229" spans="1:39" s="1" customFormat="1" ht="16.5" customHeight="1">
      <c r="A229" s="31" t="s">
        <v>113</v>
      </c>
      <c r="B229" s="32" t="s">
        <v>346</v>
      </c>
      <c r="C229" s="32">
        <v>18005888</v>
      </c>
      <c r="D229" s="28">
        <v>14</v>
      </c>
      <c r="E229" s="28">
        <v>14</v>
      </c>
      <c r="F229" s="28">
        <v>12</v>
      </c>
      <c r="G229" s="28">
        <v>10</v>
      </c>
      <c r="H229" s="28">
        <v>10</v>
      </c>
      <c r="I229" s="28">
        <v>0</v>
      </c>
      <c r="J229" s="28">
        <v>7</v>
      </c>
      <c r="K229" s="29">
        <v>23</v>
      </c>
      <c r="L229" s="29">
        <v>12</v>
      </c>
      <c r="M229" s="28">
        <v>14</v>
      </c>
      <c r="N229" s="28">
        <v>10</v>
      </c>
      <c r="O229" s="28">
        <v>0</v>
      </c>
      <c r="P229" s="28">
        <v>14</v>
      </c>
      <c r="Q229" s="28">
        <v>10</v>
      </c>
      <c r="R229" s="28">
        <v>0</v>
      </c>
      <c r="S229" s="28">
        <v>14</v>
      </c>
      <c r="T229" s="29">
        <v>22</v>
      </c>
      <c r="U229" s="30">
        <v>0</v>
      </c>
      <c r="V229" s="28">
        <v>10</v>
      </c>
      <c r="W229" s="28">
        <v>0</v>
      </c>
      <c r="X229" s="28">
        <v>14</v>
      </c>
      <c r="Y229" s="28">
        <v>10</v>
      </c>
      <c r="Z229" s="28">
        <v>0</v>
      </c>
      <c r="AA229" s="28">
        <v>14</v>
      </c>
      <c r="AB229" s="28">
        <v>10</v>
      </c>
      <c r="AC229" s="29">
        <v>18</v>
      </c>
      <c r="AD229" s="30">
        <v>0</v>
      </c>
      <c r="AE229" s="28">
        <v>0</v>
      </c>
      <c r="AF229" s="28">
        <v>14</v>
      </c>
      <c r="AG229" s="28">
        <v>10</v>
      </c>
      <c r="AH229" s="28">
        <v>0</v>
      </c>
      <c r="AI229" s="28">
        <v>14</v>
      </c>
      <c r="AJ229" s="28">
        <v>10</v>
      </c>
      <c r="AK229" s="28">
        <v>0</v>
      </c>
      <c r="AL229" s="29">
        <v>8</v>
      </c>
      <c r="AM229" s="30">
        <v>0</v>
      </c>
    </row>
    <row r="230" spans="1:39" s="1" customFormat="1" ht="16.5" customHeight="1">
      <c r="A230" s="31" t="s">
        <v>110</v>
      </c>
      <c r="B230" s="32" t="s">
        <v>315</v>
      </c>
      <c r="C230" s="32">
        <v>18006764</v>
      </c>
      <c r="D230" s="28">
        <v>7</v>
      </c>
      <c r="E230" s="28">
        <v>10</v>
      </c>
      <c r="F230" s="28">
        <v>0</v>
      </c>
      <c r="G230" s="28">
        <v>7</v>
      </c>
      <c r="H230" s="28">
        <v>7</v>
      </c>
      <c r="I230" s="28">
        <v>10</v>
      </c>
      <c r="J230" s="28">
        <v>0</v>
      </c>
      <c r="K230" s="29">
        <v>9</v>
      </c>
      <c r="L230" s="29">
        <v>0</v>
      </c>
      <c r="M230" s="28">
        <v>14</v>
      </c>
      <c r="N230" s="28">
        <v>10</v>
      </c>
      <c r="O230" s="28">
        <v>0</v>
      </c>
      <c r="P230" s="28">
        <v>14</v>
      </c>
      <c r="Q230" s="28">
        <v>10</v>
      </c>
      <c r="R230" s="28">
        <v>0</v>
      </c>
      <c r="S230" s="28">
        <v>14</v>
      </c>
      <c r="T230" s="29">
        <v>22</v>
      </c>
      <c r="U230" s="30">
        <v>0</v>
      </c>
      <c r="V230" s="28">
        <v>10</v>
      </c>
      <c r="W230" s="28">
        <v>0</v>
      </c>
      <c r="X230" s="28">
        <v>7</v>
      </c>
      <c r="Y230" s="28">
        <v>7</v>
      </c>
      <c r="Z230" s="28">
        <v>0</v>
      </c>
      <c r="AA230" s="28">
        <v>14</v>
      </c>
      <c r="AB230" s="28">
        <v>10</v>
      </c>
      <c r="AC230" s="29">
        <v>8</v>
      </c>
      <c r="AD230" s="30">
        <v>0</v>
      </c>
      <c r="AE230" s="28">
        <v>0</v>
      </c>
      <c r="AF230" s="28">
        <v>14</v>
      </c>
      <c r="AG230" s="28">
        <v>10</v>
      </c>
      <c r="AH230" s="28">
        <v>0</v>
      </c>
      <c r="AI230" s="28">
        <v>14</v>
      </c>
      <c r="AJ230" s="28">
        <v>10</v>
      </c>
      <c r="AK230" s="28">
        <v>0</v>
      </c>
      <c r="AL230" s="29">
        <v>8</v>
      </c>
      <c r="AM230" s="30">
        <v>0</v>
      </c>
    </row>
    <row r="231" spans="1:39" s="1" customFormat="1" ht="16.5" customHeight="1">
      <c r="A231" s="31" t="s">
        <v>296</v>
      </c>
      <c r="B231" s="32" t="s">
        <v>315</v>
      </c>
      <c r="C231" s="32">
        <v>18004116</v>
      </c>
      <c r="D231" s="28">
        <v>10</v>
      </c>
      <c r="E231" s="28">
        <v>0</v>
      </c>
      <c r="F231" s="28">
        <v>7</v>
      </c>
      <c r="G231" s="28">
        <v>10</v>
      </c>
      <c r="H231" s="28">
        <v>0</v>
      </c>
      <c r="I231" s="28">
        <v>7</v>
      </c>
      <c r="J231" s="28">
        <v>10</v>
      </c>
      <c r="K231" s="29">
        <v>5</v>
      </c>
      <c r="L231" s="29">
        <v>7</v>
      </c>
      <c r="M231" s="28">
        <v>10</v>
      </c>
      <c r="N231" s="28">
        <v>0</v>
      </c>
      <c r="O231" s="28">
        <v>14</v>
      </c>
      <c r="P231" s="28">
        <v>10</v>
      </c>
      <c r="Q231" s="28">
        <v>0</v>
      </c>
      <c r="R231" s="28">
        <v>14</v>
      </c>
      <c r="S231" s="28">
        <v>10</v>
      </c>
      <c r="T231" s="29">
        <v>18</v>
      </c>
      <c r="U231" s="30">
        <v>0</v>
      </c>
      <c r="V231" s="28">
        <v>0</v>
      </c>
      <c r="W231" s="28">
        <v>7</v>
      </c>
      <c r="X231" s="28">
        <v>7</v>
      </c>
      <c r="Y231" s="28">
        <v>10</v>
      </c>
      <c r="Z231" s="28">
        <v>0</v>
      </c>
      <c r="AA231" s="28">
        <v>14</v>
      </c>
      <c r="AB231" s="28">
        <v>10</v>
      </c>
      <c r="AC231" s="29">
        <v>8</v>
      </c>
      <c r="AD231" s="30">
        <v>0</v>
      </c>
      <c r="AE231" s="28">
        <v>0</v>
      </c>
      <c r="AF231" s="28">
        <v>14</v>
      </c>
      <c r="AG231" s="28">
        <v>10</v>
      </c>
      <c r="AH231" s="28">
        <v>0</v>
      </c>
      <c r="AI231" s="28">
        <v>14</v>
      </c>
      <c r="AJ231" s="28">
        <v>10</v>
      </c>
      <c r="AK231" s="28">
        <v>0</v>
      </c>
      <c r="AL231" s="29">
        <v>8</v>
      </c>
      <c r="AM231" s="30">
        <v>0</v>
      </c>
    </row>
    <row r="232" spans="1:39" s="1" customFormat="1" ht="16.5" customHeight="1">
      <c r="A232" s="31" t="s">
        <v>303</v>
      </c>
      <c r="B232" s="32" t="s">
        <v>315</v>
      </c>
      <c r="C232" s="32">
        <v>18004209</v>
      </c>
      <c r="D232" s="28">
        <v>7</v>
      </c>
      <c r="E232" s="28">
        <v>10</v>
      </c>
      <c r="F232" s="28">
        <v>0</v>
      </c>
      <c r="G232" s="28">
        <v>7</v>
      </c>
      <c r="H232" s="28">
        <v>10</v>
      </c>
      <c r="I232" s="28">
        <v>0</v>
      </c>
      <c r="J232" s="28">
        <v>7</v>
      </c>
      <c r="K232" s="29">
        <v>9</v>
      </c>
      <c r="L232" s="29">
        <v>0</v>
      </c>
      <c r="M232" s="28">
        <v>0</v>
      </c>
      <c r="N232" s="28">
        <v>14</v>
      </c>
      <c r="O232" s="28">
        <v>10</v>
      </c>
      <c r="P232" s="28">
        <v>0</v>
      </c>
      <c r="Q232" s="28">
        <v>14</v>
      </c>
      <c r="R232" s="28">
        <v>10</v>
      </c>
      <c r="S232" s="28">
        <v>10</v>
      </c>
      <c r="T232" s="29">
        <v>18</v>
      </c>
      <c r="U232" s="30">
        <v>0</v>
      </c>
      <c r="V232" s="28">
        <v>0</v>
      </c>
      <c r="W232" s="28">
        <v>7</v>
      </c>
      <c r="X232" s="28">
        <v>10</v>
      </c>
      <c r="Y232" s="28">
        <v>0</v>
      </c>
      <c r="Z232" s="28">
        <v>14</v>
      </c>
      <c r="AA232" s="28">
        <v>10</v>
      </c>
      <c r="AB232" s="28">
        <v>10</v>
      </c>
      <c r="AC232" s="29">
        <v>11</v>
      </c>
      <c r="AD232" s="30">
        <v>0</v>
      </c>
      <c r="AE232" s="28">
        <v>0</v>
      </c>
      <c r="AF232" s="28">
        <v>14</v>
      </c>
      <c r="AG232" s="28">
        <v>10</v>
      </c>
      <c r="AH232" s="28">
        <v>0</v>
      </c>
      <c r="AI232" s="28">
        <v>14</v>
      </c>
      <c r="AJ232" s="28">
        <v>10</v>
      </c>
      <c r="AK232" s="28">
        <v>10</v>
      </c>
      <c r="AL232" s="29">
        <v>18</v>
      </c>
      <c r="AM232" s="30">
        <v>0</v>
      </c>
    </row>
    <row r="233" spans="1:39" s="1" customFormat="1" ht="16.5" customHeight="1">
      <c r="A233" s="31" t="s">
        <v>298</v>
      </c>
      <c r="B233" s="32" t="s">
        <v>315</v>
      </c>
      <c r="C233" s="32">
        <v>18004255</v>
      </c>
      <c r="D233" s="28">
        <v>0</v>
      </c>
      <c r="E233" s="28">
        <v>7</v>
      </c>
      <c r="F233" s="28">
        <v>7</v>
      </c>
      <c r="G233" s="28">
        <v>10</v>
      </c>
      <c r="H233" s="28">
        <v>0</v>
      </c>
      <c r="I233" s="28">
        <v>7</v>
      </c>
      <c r="J233" s="28">
        <v>7</v>
      </c>
      <c r="K233" s="29">
        <v>-1</v>
      </c>
      <c r="L233" s="29">
        <v>7</v>
      </c>
      <c r="M233" s="28">
        <v>0</v>
      </c>
      <c r="N233" s="28">
        <v>14</v>
      </c>
      <c r="O233" s="28">
        <v>10</v>
      </c>
      <c r="P233" s="28">
        <v>0</v>
      </c>
      <c r="Q233" s="28">
        <v>14</v>
      </c>
      <c r="R233" s="28">
        <v>10</v>
      </c>
      <c r="S233" s="28">
        <v>0</v>
      </c>
      <c r="T233" s="29">
        <v>8</v>
      </c>
      <c r="U233" s="30">
        <v>0</v>
      </c>
      <c r="V233" s="28">
        <v>14</v>
      </c>
      <c r="W233" s="28">
        <v>10</v>
      </c>
      <c r="X233" s="28">
        <v>0</v>
      </c>
      <c r="Y233" s="28">
        <v>7</v>
      </c>
      <c r="Z233" s="28">
        <v>10</v>
      </c>
      <c r="AA233" s="28">
        <v>0</v>
      </c>
      <c r="AB233" s="28">
        <v>14</v>
      </c>
      <c r="AC233" s="29">
        <v>15</v>
      </c>
      <c r="AD233" s="30">
        <v>0</v>
      </c>
      <c r="AE233" s="28">
        <v>10</v>
      </c>
      <c r="AF233" s="28">
        <v>0</v>
      </c>
      <c r="AG233" s="28">
        <v>14</v>
      </c>
      <c r="AH233" s="28">
        <v>10</v>
      </c>
      <c r="AI233" s="28">
        <v>0</v>
      </c>
      <c r="AJ233" s="28">
        <v>14</v>
      </c>
      <c r="AK233" s="28">
        <v>10</v>
      </c>
      <c r="AL233" s="29">
        <v>18</v>
      </c>
      <c r="AM233" s="30">
        <v>0</v>
      </c>
    </row>
    <row r="234" spans="1:39" s="1" customFormat="1" ht="16.5" customHeight="1">
      <c r="A234" s="31" t="s">
        <v>340</v>
      </c>
      <c r="B234" s="32" t="s">
        <v>315</v>
      </c>
      <c r="C234" s="32">
        <v>18004354</v>
      </c>
      <c r="D234" s="28">
        <v>0</v>
      </c>
      <c r="E234" s="28">
        <v>14</v>
      </c>
      <c r="F234" s="28">
        <v>10</v>
      </c>
      <c r="G234" s="28">
        <v>0</v>
      </c>
      <c r="H234" s="28">
        <v>7</v>
      </c>
      <c r="I234" s="28">
        <v>10</v>
      </c>
      <c r="J234" s="28">
        <v>0</v>
      </c>
      <c r="K234" s="29">
        <v>-1</v>
      </c>
      <c r="L234" s="29">
        <v>10</v>
      </c>
      <c r="M234" s="28">
        <v>10</v>
      </c>
      <c r="N234" s="28">
        <v>10</v>
      </c>
      <c r="O234" s="28">
        <v>0</v>
      </c>
      <c r="P234" s="28">
        <v>10</v>
      </c>
      <c r="Q234" s="28">
        <v>10</v>
      </c>
      <c r="R234" s="28">
        <v>0</v>
      </c>
      <c r="S234" s="28">
        <v>14</v>
      </c>
      <c r="T234" s="29">
        <v>14</v>
      </c>
      <c r="U234" s="30">
        <v>0</v>
      </c>
      <c r="V234" s="28">
        <v>10</v>
      </c>
      <c r="W234" s="28">
        <v>0</v>
      </c>
      <c r="X234" s="28">
        <v>7</v>
      </c>
      <c r="Y234" s="28">
        <v>10</v>
      </c>
      <c r="Z234" s="28">
        <v>10</v>
      </c>
      <c r="AA234" s="28">
        <v>0</v>
      </c>
      <c r="AB234" s="28">
        <v>14</v>
      </c>
      <c r="AC234" s="29">
        <v>11</v>
      </c>
      <c r="AD234" s="30">
        <v>0</v>
      </c>
      <c r="AE234" s="28">
        <v>10</v>
      </c>
      <c r="AF234" s="28">
        <v>10</v>
      </c>
      <c r="AG234" s="28">
        <v>0</v>
      </c>
      <c r="AH234" s="28">
        <v>10</v>
      </c>
      <c r="AI234" s="28">
        <v>10</v>
      </c>
      <c r="AJ234" s="28">
        <v>0</v>
      </c>
      <c r="AK234" s="28">
        <v>14</v>
      </c>
      <c r="AL234" s="29">
        <v>14</v>
      </c>
      <c r="AM234" s="30">
        <v>0</v>
      </c>
    </row>
    <row r="235" spans="1:39" s="1" customFormat="1" ht="16.5" customHeight="1">
      <c r="A235" s="31" t="s">
        <v>302</v>
      </c>
      <c r="B235" s="32" t="s">
        <v>315</v>
      </c>
      <c r="C235" s="32">
        <v>18006037</v>
      </c>
      <c r="D235" s="28">
        <v>7</v>
      </c>
      <c r="E235" s="28">
        <v>7</v>
      </c>
      <c r="F235" s="28">
        <v>10</v>
      </c>
      <c r="G235" s="28">
        <v>0</v>
      </c>
      <c r="H235" s="28">
        <v>7</v>
      </c>
      <c r="I235" s="28">
        <v>7</v>
      </c>
      <c r="J235" s="28">
        <v>10</v>
      </c>
      <c r="K235" s="29">
        <v>6</v>
      </c>
      <c r="L235" s="29">
        <v>10</v>
      </c>
      <c r="M235" s="28">
        <v>0</v>
      </c>
      <c r="N235" s="28">
        <v>14</v>
      </c>
      <c r="O235" s="28">
        <v>10</v>
      </c>
      <c r="P235" s="28">
        <v>0</v>
      </c>
      <c r="Q235" s="28">
        <v>14</v>
      </c>
      <c r="R235" s="28">
        <v>10</v>
      </c>
      <c r="S235" s="28">
        <v>0</v>
      </c>
      <c r="T235" s="29">
        <v>8</v>
      </c>
      <c r="U235" s="30">
        <v>0</v>
      </c>
      <c r="V235" s="28">
        <v>7</v>
      </c>
      <c r="W235" s="28">
        <v>10</v>
      </c>
      <c r="X235" s="28">
        <v>0</v>
      </c>
      <c r="Y235" s="28">
        <v>7</v>
      </c>
      <c r="Z235" s="28">
        <v>10</v>
      </c>
      <c r="AA235" s="28">
        <v>0</v>
      </c>
      <c r="AB235" s="28">
        <v>14</v>
      </c>
      <c r="AC235" s="29">
        <v>8</v>
      </c>
      <c r="AD235" s="30">
        <v>0</v>
      </c>
      <c r="AE235" s="28">
        <v>10</v>
      </c>
      <c r="AF235" s="28">
        <v>0</v>
      </c>
      <c r="AG235" s="28">
        <v>14</v>
      </c>
      <c r="AH235" s="28">
        <v>10</v>
      </c>
      <c r="AI235" s="28">
        <v>0</v>
      </c>
      <c r="AJ235" s="28">
        <v>14</v>
      </c>
      <c r="AK235" s="28">
        <v>10</v>
      </c>
      <c r="AL235" s="29">
        <v>18</v>
      </c>
      <c r="AM235" s="30">
        <v>0</v>
      </c>
    </row>
    <row r="236" spans="1:39" s="1" customFormat="1" ht="16.5" customHeight="1">
      <c r="A236" s="31" t="s">
        <v>112</v>
      </c>
      <c r="B236" s="32" t="s">
        <v>315</v>
      </c>
      <c r="C236" s="32">
        <v>18004402</v>
      </c>
      <c r="D236" s="28">
        <v>10</v>
      </c>
      <c r="E236" s="28">
        <v>0</v>
      </c>
      <c r="F236" s="28">
        <v>7</v>
      </c>
      <c r="G236" s="28">
        <v>7</v>
      </c>
      <c r="H236" s="28">
        <v>10</v>
      </c>
      <c r="I236" s="28">
        <v>0</v>
      </c>
      <c r="J236" s="28">
        <v>7</v>
      </c>
      <c r="K236" s="29">
        <v>2</v>
      </c>
      <c r="L236" s="29">
        <v>7</v>
      </c>
      <c r="M236" s="28">
        <v>10</v>
      </c>
      <c r="N236" s="28">
        <v>0</v>
      </c>
      <c r="O236" s="28">
        <v>14</v>
      </c>
      <c r="P236" s="28">
        <v>10</v>
      </c>
      <c r="Q236" s="28">
        <v>0</v>
      </c>
      <c r="R236" s="28">
        <v>14</v>
      </c>
      <c r="S236" s="28">
        <v>10</v>
      </c>
      <c r="T236" s="29">
        <v>18</v>
      </c>
      <c r="U236" s="30">
        <v>0</v>
      </c>
      <c r="V236" s="28">
        <v>0</v>
      </c>
      <c r="W236" s="28">
        <v>7</v>
      </c>
      <c r="X236" s="28">
        <v>7</v>
      </c>
      <c r="Y236" s="28">
        <v>0</v>
      </c>
      <c r="Z236" s="28">
        <v>14</v>
      </c>
      <c r="AA236" s="28">
        <v>10</v>
      </c>
      <c r="AB236" s="28">
        <v>0</v>
      </c>
      <c r="AC236" s="29">
        <v>-2</v>
      </c>
      <c r="AD236" s="30">
        <v>0</v>
      </c>
      <c r="AE236" s="28">
        <v>14</v>
      </c>
      <c r="AF236" s="28">
        <v>10</v>
      </c>
      <c r="AG236" s="28">
        <v>0</v>
      </c>
      <c r="AH236" s="28">
        <v>14</v>
      </c>
      <c r="AI236" s="28">
        <v>10</v>
      </c>
      <c r="AJ236" s="28">
        <v>0</v>
      </c>
      <c r="AK236" s="28">
        <v>14</v>
      </c>
      <c r="AL236" s="29">
        <v>22</v>
      </c>
      <c r="AM236" s="30">
        <v>0</v>
      </c>
    </row>
    <row r="237" spans="1:39" s="1" customFormat="1" ht="16.5" customHeight="1">
      <c r="A237" s="31" t="s">
        <v>47</v>
      </c>
      <c r="B237" s="32" t="s">
        <v>315</v>
      </c>
      <c r="C237" s="32">
        <v>18006749</v>
      </c>
      <c r="D237" s="28">
        <v>7</v>
      </c>
      <c r="E237" s="28">
        <v>0</v>
      </c>
      <c r="F237" s="28">
        <v>7</v>
      </c>
      <c r="G237" s="28">
        <v>7</v>
      </c>
      <c r="H237" s="28">
        <v>7</v>
      </c>
      <c r="I237" s="28">
        <v>7</v>
      </c>
      <c r="J237" s="28">
        <v>7</v>
      </c>
      <c r="K237" s="29">
        <v>3</v>
      </c>
      <c r="L237" s="29">
        <v>7</v>
      </c>
      <c r="M237" s="28">
        <v>14</v>
      </c>
      <c r="N237" s="28">
        <v>0</v>
      </c>
      <c r="O237" s="28">
        <v>14</v>
      </c>
      <c r="P237" s="28">
        <v>14</v>
      </c>
      <c r="Q237" s="28">
        <v>0</v>
      </c>
      <c r="R237" s="28">
        <v>14</v>
      </c>
      <c r="S237" s="28">
        <v>0</v>
      </c>
      <c r="T237" s="29">
        <v>16</v>
      </c>
      <c r="U237" s="30">
        <v>0</v>
      </c>
      <c r="V237" s="28">
        <v>14</v>
      </c>
      <c r="W237" s="28">
        <v>0</v>
      </c>
      <c r="X237" s="28">
        <v>7</v>
      </c>
      <c r="Y237" s="28">
        <v>7</v>
      </c>
      <c r="Z237" s="28">
        <v>0</v>
      </c>
      <c r="AA237" s="28">
        <v>14</v>
      </c>
      <c r="AB237" s="28">
        <v>0</v>
      </c>
      <c r="AC237" s="29">
        <v>2</v>
      </c>
      <c r="AD237" s="30">
        <v>0</v>
      </c>
      <c r="AE237" s="28">
        <v>14</v>
      </c>
      <c r="AF237" s="28">
        <v>0</v>
      </c>
      <c r="AG237" s="28">
        <v>14</v>
      </c>
      <c r="AH237" s="28">
        <v>14</v>
      </c>
      <c r="AI237" s="28">
        <v>0</v>
      </c>
      <c r="AJ237" s="28">
        <v>14</v>
      </c>
      <c r="AK237" s="28">
        <v>0</v>
      </c>
      <c r="AL237" s="29">
        <v>16</v>
      </c>
      <c r="AM237" s="30">
        <v>0</v>
      </c>
    </row>
    <row r="238" spans="1:39" s="1" customFormat="1" ht="16.5" customHeight="1">
      <c r="A238" s="31" t="s">
        <v>357</v>
      </c>
      <c r="B238" s="32" t="s">
        <v>315</v>
      </c>
      <c r="C238" s="32">
        <v>18006560</v>
      </c>
      <c r="D238" s="28">
        <v>7</v>
      </c>
      <c r="E238" s="28">
        <v>0</v>
      </c>
      <c r="F238" s="28">
        <v>7</v>
      </c>
      <c r="G238" s="28">
        <v>10</v>
      </c>
      <c r="H238" s="28">
        <v>10</v>
      </c>
      <c r="I238" s="28">
        <v>0</v>
      </c>
      <c r="J238" s="28">
        <v>0</v>
      </c>
      <c r="K238" s="29">
        <v>-5</v>
      </c>
      <c r="L238" s="29">
        <v>7</v>
      </c>
      <c r="M238" s="28">
        <v>14</v>
      </c>
      <c r="N238" s="28">
        <v>10</v>
      </c>
      <c r="O238" s="28">
        <v>0</v>
      </c>
      <c r="P238" s="28">
        <v>14</v>
      </c>
      <c r="Q238" s="28">
        <v>10</v>
      </c>
      <c r="R238" s="28">
        <v>0</v>
      </c>
      <c r="S238" s="28">
        <v>14</v>
      </c>
      <c r="T238" s="29">
        <v>22</v>
      </c>
      <c r="U238" s="30">
        <v>0</v>
      </c>
      <c r="V238" s="28">
        <v>0</v>
      </c>
      <c r="W238" s="28">
        <v>7</v>
      </c>
      <c r="X238" s="28">
        <v>10</v>
      </c>
      <c r="Y238" s="28">
        <v>0</v>
      </c>
      <c r="Z238" s="28">
        <v>14</v>
      </c>
      <c r="AA238" s="28">
        <v>10</v>
      </c>
      <c r="AB238" s="28">
        <v>0</v>
      </c>
      <c r="AC238" s="29">
        <v>1</v>
      </c>
      <c r="AD238" s="30">
        <v>0</v>
      </c>
      <c r="AE238" s="28">
        <v>14</v>
      </c>
      <c r="AF238" s="28">
        <v>10</v>
      </c>
      <c r="AG238" s="28">
        <v>0</v>
      </c>
      <c r="AH238" s="28">
        <v>14</v>
      </c>
      <c r="AI238" s="28">
        <v>10</v>
      </c>
      <c r="AJ238" s="28">
        <v>0</v>
      </c>
      <c r="AK238" s="28">
        <v>14</v>
      </c>
      <c r="AL238" s="29">
        <v>22</v>
      </c>
      <c r="AM238" s="30">
        <v>0</v>
      </c>
    </row>
    <row r="239" spans="1:39" s="1" customFormat="1" ht="16.5" customHeight="1">
      <c r="A239" s="31" t="s">
        <v>49</v>
      </c>
      <c r="B239" s="32" t="s">
        <v>48</v>
      </c>
      <c r="C239" s="32">
        <v>18005891</v>
      </c>
      <c r="D239" s="28" t="s">
        <v>68</v>
      </c>
      <c r="E239" s="28" t="s">
        <v>68</v>
      </c>
      <c r="F239" s="28" t="s">
        <v>68</v>
      </c>
      <c r="G239" s="28" t="s">
        <v>68</v>
      </c>
      <c r="H239" s="28" t="s">
        <v>68</v>
      </c>
      <c r="I239" s="28">
        <v>14</v>
      </c>
      <c r="J239" s="28">
        <v>14</v>
      </c>
      <c r="K239" s="29">
        <v>12</v>
      </c>
      <c r="L239" s="29">
        <v>0</v>
      </c>
      <c r="M239" s="28">
        <v>0</v>
      </c>
      <c r="N239" s="28">
        <v>0</v>
      </c>
      <c r="O239" s="28">
        <v>14</v>
      </c>
      <c r="P239" s="28">
        <v>0</v>
      </c>
      <c r="Q239" s="28">
        <v>14</v>
      </c>
      <c r="R239" s="28">
        <v>14</v>
      </c>
      <c r="S239" s="28">
        <v>14</v>
      </c>
      <c r="T239" s="29">
        <v>16</v>
      </c>
      <c r="U239" s="30">
        <v>0</v>
      </c>
      <c r="V239" s="28">
        <v>14</v>
      </c>
      <c r="W239" s="28">
        <v>7</v>
      </c>
      <c r="X239" s="28">
        <v>0</v>
      </c>
      <c r="Y239" s="28">
        <v>14</v>
      </c>
      <c r="Z239" s="28">
        <v>0</v>
      </c>
      <c r="AA239" s="28">
        <v>14</v>
      </c>
      <c r="AB239" s="28">
        <v>14</v>
      </c>
      <c r="AC239" s="29">
        <v>23</v>
      </c>
      <c r="AD239" s="30">
        <v>0</v>
      </c>
      <c r="AE239" s="28">
        <v>14</v>
      </c>
      <c r="AF239" s="28">
        <v>0</v>
      </c>
      <c r="AG239" s="28">
        <v>14</v>
      </c>
      <c r="AH239" s="28">
        <v>0</v>
      </c>
      <c r="AI239" s="28">
        <v>0</v>
      </c>
      <c r="AJ239" s="28">
        <v>14</v>
      </c>
      <c r="AK239" s="28">
        <v>7</v>
      </c>
      <c r="AL239" s="29">
        <v>9</v>
      </c>
      <c r="AM239" s="30">
        <v>0</v>
      </c>
    </row>
    <row r="240" spans="1:39" s="1" customFormat="1" ht="16.5" customHeight="1">
      <c r="A240" s="31" t="s">
        <v>50</v>
      </c>
      <c r="B240" s="32" t="s">
        <v>48</v>
      </c>
      <c r="C240" s="32">
        <v>18006033</v>
      </c>
      <c r="D240" s="28">
        <v>14</v>
      </c>
      <c r="E240" s="28">
        <v>0</v>
      </c>
      <c r="F240" s="28">
        <v>14</v>
      </c>
      <c r="G240" s="28">
        <v>14</v>
      </c>
      <c r="H240" s="28">
        <v>7</v>
      </c>
      <c r="I240" s="28">
        <v>0</v>
      </c>
      <c r="J240" s="28">
        <v>14</v>
      </c>
      <c r="K240" s="29">
        <v>17</v>
      </c>
      <c r="L240" s="29">
        <v>14</v>
      </c>
      <c r="M240" s="28">
        <v>0</v>
      </c>
      <c r="N240" s="28">
        <v>14</v>
      </c>
      <c r="O240" s="28">
        <v>14</v>
      </c>
      <c r="P240" s="28">
        <v>13</v>
      </c>
      <c r="Q240" s="28">
        <v>12</v>
      </c>
      <c r="R240" s="28">
        <v>14</v>
      </c>
      <c r="S240" s="28">
        <v>14</v>
      </c>
      <c r="T240" s="29">
        <v>41</v>
      </c>
      <c r="U240" s="30">
        <v>0</v>
      </c>
      <c r="V240" s="28">
        <v>11</v>
      </c>
      <c r="W240" s="28">
        <v>0</v>
      </c>
      <c r="X240" s="28">
        <v>14</v>
      </c>
      <c r="Y240" s="28">
        <v>14</v>
      </c>
      <c r="Z240" s="28">
        <v>14</v>
      </c>
      <c r="AA240" s="28">
        <v>14</v>
      </c>
      <c r="AB240" s="28">
        <v>14</v>
      </c>
      <c r="AC240" s="29">
        <v>41</v>
      </c>
      <c r="AD240" s="30">
        <v>0</v>
      </c>
      <c r="AE240" s="28">
        <v>11</v>
      </c>
      <c r="AF240" s="28">
        <v>0</v>
      </c>
      <c r="AG240" s="28">
        <v>14</v>
      </c>
      <c r="AH240" s="28">
        <v>0</v>
      </c>
      <c r="AI240" s="28">
        <v>14</v>
      </c>
      <c r="AJ240" s="28">
        <v>14</v>
      </c>
      <c r="AK240" s="28">
        <v>14</v>
      </c>
      <c r="AL240" s="29">
        <v>27</v>
      </c>
      <c r="AM240" s="30">
        <v>0</v>
      </c>
    </row>
    <row r="241" spans="1:39" s="1" customFormat="1" ht="16.5" customHeight="1">
      <c r="A241" s="31" t="s">
        <v>51</v>
      </c>
      <c r="B241" s="32" t="s">
        <v>48</v>
      </c>
      <c r="C241" s="32">
        <v>18006101</v>
      </c>
      <c r="D241" s="28">
        <v>0</v>
      </c>
      <c r="E241" s="28">
        <v>14</v>
      </c>
      <c r="F241" s="28">
        <v>10</v>
      </c>
      <c r="G241" s="28">
        <v>10</v>
      </c>
      <c r="H241" s="28">
        <v>0</v>
      </c>
      <c r="I241" s="28">
        <v>0</v>
      </c>
      <c r="J241" s="28">
        <v>10</v>
      </c>
      <c r="K241" s="29">
        <v>2</v>
      </c>
      <c r="L241" s="29">
        <v>10</v>
      </c>
      <c r="M241" s="28">
        <v>10</v>
      </c>
      <c r="N241" s="28">
        <v>0</v>
      </c>
      <c r="O241" s="28">
        <v>14</v>
      </c>
      <c r="P241" s="28">
        <v>10</v>
      </c>
      <c r="Q241" s="28">
        <v>10</v>
      </c>
      <c r="R241" s="28">
        <v>0</v>
      </c>
      <c r="S241" s="28">
        <v>0</v>
      </c>
      <c r="T241" s="29">
        <v>4</v>
      </c>
      <c r="U241" s="30">
        <v>0</v>
      </c>
      <c r="V241" s="28">
        <v>10</v>
      </c>
      <c r="W241" s="28">
        <v>10</v>
      </c>
      <c r="X241" s="28">
        <v>0</v>
      </c>
      <c r="Y241" s="28">
        <v>0</v>
      </c>
      <c r="Z241" s="28">
        <v>14</v>
      </c>
      <c r="AA241" s="28">
        <v>10</v>
      </c>
      <c r="AB241" s="28">
        <v>0</v>
      </c>
      <c r="AC241" s="29">
        <v>4</v>
      </c>
      <c r="AD241" s="30">
        <v>0</v>
      </c>
      <c r="AE241" s="28">
        <v>10</v>
      </c>
      <c r="AF241" s="28">
        <v>10</v>
      </c>
      <c r="AG241" s="28">
        <v>0</v>
      </c>
      <c r="AH241" s="28">
        <v>0</v>
      </c>
      <c r="AI241" s="28">
        <v>14</v>
      </c>
      <c r="AJ241" s="28">
        <v>0</v>
      </c>
      <c r="AK241" s="28">
        <v>10</v>
      </c>
      <c r="AL241" s="29">
        <v>4</v>
      </c>
      <c r="AM241" s="30">
        <v>0</v>
      </c>
    </row>
    <row r="242" spans="1:39" s="1" customFormat="1" ht="16.5" customHeight="1">
      <c r="A242" s="31" t="s">
        <v>52</v>
      </c>
      <c r="B242" s="32" t="s">
        <v>48</v>
      </c>
      <c r="C242" s="32">
        <v>18006570</v>
      </c>
      <c r="D242" s="28">
        <v>0</v>
      </c>
      <c r="E242" s="28">
        <v>10</v>
      </c>
      <c r="F242" s="28">
        <v>0</v>
      </c>
      <c r="G242" s="28">
        <v>14</v>
      </c>
      <c r="H242" s="28">
        <v>10</v>
      </c>
      <c r="I242" s="28">
        <v>10</v>
      </c>
      <c r="J242" s="28">
        <v>0</v>
      </c>
      <c r="K242" s="29">
        <v>12</v>
      </c>
      <c r="L242" s="29">
        <v>0</v>
      </c>
      <c r="M242" s="28">
        <v>0</v>
      </c>
      <c r="N242" s="28">
        <v>14</v>
      </c>
      <c r="O242" s="28">
        <v>10</v>
      </c>
      <c r="P242" s="28">
        <v>10</v>
      </c>
      <c r="Q242" s="28">
        <v>0</v>
      </c>
      <c r="R242" s="28">
        <v>10</v>
      </c>
      <c r="S242" s="28">
        <v>10</v>
      </c>
      <c r="T242" s="29">
        <v>14</v>
      </c>
      <c r="U242" s="30">
        <v>0</v>
      </c>
      <c r="V242" s="28">
        <v>0</v>
      </c>
      <c r="W242" s="28">
        <v>10</v>
      </c>
      <c r="X242" s="28">
        <v>10</v>
      </c>
      <c r="Y242" s="28">
        <v>0</v>
      </c>
      <c r="Z242" s="28">
        <v>14</v>
      </c>
      <c r="AA242" s="28">
        <v>10</v>
      </c>
      <c r="AB242" s="28">
        <v>10</v>
      </c>
      <c r="AC242" s="29">
        <v>14</v>
      </c>
      <c r="AD242" s="30">
        <v>0</v>
      </c>
      <c r="AE242" s="28">
        <v>0</v>
      </c>
      <c r="AF242" s="28">
        <v>14</v>
      </c>
      <c r="AG242" s="28">
        <v>10</v>
      </c>
      <c r="AH242" s="28">
        <v>10</v>
      </c>
      <c r="AI242" s="28">
        <v>0</v>
      </c>
      <c r="AJ242" s="28">
        <v>0</v>
      </c>
      <c r="AK242" s="28">
        <v>10</v>
      </c>
      <c r="AL242" s="29">
        <v>4</v>
      </c>
      <c r="AM242" s="30">
        <v>0</v>
      </c>
    </row>
    <row r="243" spans="1:39" s="1" customFormat="1" ht="16.5" customHeight="1">
      <c r="A243" s="31" t="s">
        <v>53</v>
      </c>
      <c r="B243" s="32" t="s">
        <v>48</v>
      </c>
      <c r="C243" s="32">
        <v>18007416</v>
      </c>
      <c r="D243" s="28">
        <v>14</v>
      </c>
      <c r="E243" s="28">
        <v>11</v>
      </c>
      <c r="F243" s="28">
        <v>14</v>
      </c>
      <c r="G243" s="28">
        <v>14</v>
      </c>
      <c r="H243" s="28">
        <v>14</v>
      </c>
      <c r="I243" s="28">
        <v>0</v>
      </c>
      <c r="J243" s="28">
        <v>0</v>
      </c>
      <c r="K243" s="29">
        <v>21</v>
      </c>
      <c r="L243" s="29">
        <v>14</v>
      </c>
      <c r="M243" s="28">
        <v>14</v>
      </c>
      <c r="N243" s="28">
        <v>0</v>
      </c>
      <c r="O243" s="28">
        <v>14</v>
      </c>
      <c r="P243" s="28">
        <v>14</v>
      </c>
      <c r="Q243" s="28">
        <v>7</v>
      </c>
      <c r="R243" s="28">
        <v>14</v>
      </c>
      <c r="S243" s="28">
        <v>7</v>
      </c>
      <c r="T243" s="29">
        <v>30</v>
      </c>
      <c r="U243" s="30">
        <v>0</v>
      </c>
      <c r="V243" s="28">
        <v>14</v>
      </c>
      <c r="W243" s="28">
        <v>0</v>
      </c>
      <c r="X243" s="28">
        <v>14</v>
      </c>
      <c r="Y243" s="28">
        <v>14</v>
      </c>
      <c r="Z243" s="28">
        <v>14</v>
      </c>
      <c r="AA243" s="28">
        <v>14</v>
      </c>
      <c r="AB243" s="28">
        <v>0</v>
      </c>
      <c r="AC243" s="29">
        <v>30</v>
      </c>
      <c r="AD243" s="30">
        <v>0</v>
      </c>
      <c r="AE243" s="28">
        <v>14</v>
      </c>
      <c r="AF243" s="28">
        <v>0</v>
      </c>
      <c r="AG243" s="28">
        <v>14</v>
      </c>
      <c r="AH243" s="28">
        <v>7</v>
      </c>
      <c r="AI243" s="28">
        <v>14</v>
      </c>
      <c r="AJ243" s="28">
        <v>7</v>
      </c>
      <c r="AK243" s="28">
        <v>0</v>
      </c>
      <c r="AL243" s="29">
        <v>16</v>
      </c>
      <c r="AM243" s="30">
        <v>0</v>
      </c>
    </row>
    <row r="244" spans="1:39" s="1" customFormat="1" ht="16.5" customHeight="1">
      <c r="A244" s="31" t="s">
        <v>54</v>
      </c>
      <c r="B244" s="32" t="s">
        <v>48</v>
      </c>
      <c r="C244" s="32">
        <v>18007415</v>
      </c>
      <c r="D244" s="28">
        <v>10</v>
      </c>
      <c r="E244" s="28">
        <v>0</v>
      </c>
      <c r="F244" s="28">
        <v>0</v>
      </c>
      <c r="G244" s="28">
        <v>10</v>
      </c>
      <c r="H244" s="28">
        <v>10</v>
      </c>
      <c r="I244" s="28">
        <v>0</v>
      </c>
      <c r="J244" s="28">
        <v>0</v>
      </c>
      <c r="K244" s="29">
        <v>-2</v>
      </c>
      <c r="L244" s="29">
        <v>0</v>
      </c>
      <c r="M244" s="28">
        <v>10</v>
      </c>
      <c r="N244" s="28">
        <v>10</v>
      </c>
      <c r="O244" s="28">
        <v>0</v>
      </c>
      <c r="P244" s="28">
        <v>0</v>
      </c>
      <c r="Q244" s="28" t="s">
        <v>68</v>
      </c>
      <c r="R244" s="28" t="s">
        <v>68</v>
      </c>
      <c r="S244" s="28" t="s">
        <v>68</v>
      </c>
      <c r="T244" s="29">
        <v>4</v>
      </c>
      <c r="U244" s="30">
        <v>0</v>
      </c>
      <c r="V244" s="28" t="s">
        <v>68</v>
      </c>
      <c r="W244" s="28" t="s">
        <v>68</v>
      </c>
      <c r="X244" s="28">
        <v>14</v>
      </c>
      <c r="Y244" s="28">
        <v>10</v>
      </c>
      <c r="Z244" s="28">
        <v>10</v>
      </c>
      <c r="AA244" s="28">
        <v>0</v>
      </c>
      <c r="AB244" s="28">
        <v>10</v>
      </c>
      <c r="AC244" s="29">
        <v>4</v>
      </c>
      <c r="AD244" s="30">
        <v>0</v>
      </c>
      <c r="AE244" s="28">
        <v>10</v>
      </c>
      <c r="AF244" s="28">
        <v>0</v>
      </c>
      <c r="AG244" s="28">
        <v>0</v>
      </c>
      <c r="AH244" s="28">
        <v>14</v>
      </c>
      <c r="AI244" s="28">
        <v>10</v>
      </c>
      <c r="AJ244" s="28">
        <v>10</v>
      </c>
      <c r="AK244" s="28">
        <v>0</v>
      </c>
      <c r="AL244" s="29">
        <v>4</v>
      </c>
      <c r="AM244" s="30">
        <v>0</v>
      </c>
    </row>
    <row r="245" spans="1:39" s="1" customFormat="1" ht="16.5" customHeight="1">
      <c r="A245" s="31" t="s">
        <v>304</v>
      </c>
      <c r="B245" s="32" t="s">
        <v>48</v>
      </c>
      <c r="C245" s="32">
        <v>18007417</v>
      </c>
      <c r="D245" s="28">
        <v>0</v>
      </c>
      <c r="E245" s="28">
        <v>14</v>
      </c>
      <c r="F245" s="28">
        <v>14</v>
      </c>
      <c r="G245" s="28">
        <v>0</v>
      </c>
      <c r="H245" s="28">
        <v>14</v>
      </c>
      <c r="I245" s="28">
        <v>7</v>
      </c>
      <c r="J245" s="28">
        <v>0</v>
      </c>
      <c r="K245" s="29">
        <v>3</v>
      </c>
      <c r="L245" s="29">
        <v>14</v>
      </c>
      <c r="M245" s="28">
        <v>14</v>
      </c>
      <c r="N245" s="28">
        <v>0</v>
      </c>
      <c r="O245" s="28">
        <v>0</v>
      </c>
      <c r="P245" s="28">
        <v>14</v>
      </c>
      <c r="Q245" s="28">
        <v>7</v>
      </c>
      <c r="R245" s="28">
        <v>0</v>
      </c>
      <c r="S245" s="28">
        <v>14</v>
      </c>
      <c r="T245" s="29">
        <v>9</v>
      </c>
      <c r="U245" s="30">
        <v>0</v>
      </c>
      <c r="V245" s="28">
        <v>0</v>
      </c>
      <c r="W245" s="28">
        <v>14</v>
      </c>
      <c r="X245" s="28">
        <v>0</v>
      </c>
      <c r="Y245" s="28">
        <v>0</v>
      </c>
      <c r="Z245" s="28">
        <v>7</v>
      </c>
      <c r="AA245" s="28">
        <v>14</v>
      </c>
      <c r="AB245" s="28">
        <v>0</v>
      </c>
      <c r="AC245" s="29">
        <v>-5</v>
      </c>
      <c r="AD245" s="30">
        <v>0</v>
      </c>
      <c r="AE245" s="28">
        <v>0</v>
      </c>
      <c r="AF245" s="28">
        <v>14</v>
      </c>
      <c r="AG245" s="28">
        <v>0</v>
      </c>
      <c r="AH245" s="28">
        <v>14</v>
      </c>
      <c r="AI245" s="28">
        <v>14</v>
      </c>
      <c r="AJ245" s="28">
        <v>0</v>
      </c>
      <c r="AK245" s="28">
        <v>14</v>
      </c>
      <c r="AL245" s="29">
        <v>16</v>
      </c>
      <c r="AM245" s="30">
        <v>0</v>
      </c>
    </row>
  </sheetData>
  <conditionalFormatting sqref="K18:L22 K5:L9 T5:U22 AC5:AD22 AL5:AM22 D20:J22 M20:S22 V20:AB22 AE20:AK22 M39:S43 V39:AB43 AE39:AK43 K49:L53 D54:J55 M54:S55 V54:AB55 AE54:AK55 K59:L69 D74:J76 D70:S71 M74:S76 V70:AB71 V74:AB76 AE70:AK71 AE74:AK76 K74:L79 K97:L97 K81:L84 K94:L94 T45:U97 AC45:AD97 D94:J97 D85:J88 M85:S88 V85:AB88 AE85:AK88 M100:S111 P99:S99 K115:L130 K140:L140 AL115:AM140 AC115:AD140 T115:U140 K135:L138 K146:L153 T144:U153 AC144:AD153 AL144:AM153 L167:L176 K173:L173 T173:U173 AC173:AD173 AL173:AM173 D179:J179 M179:S179 V179:AB179 AE179:AK179 K213:L229 T213:U229 AC213:AD229 AL213:AM229 U5:U245 AD5:AD245 AM5:AM245 AL45:AM97 D141:AM143">
    <cfRule type="expression" dxfId="335" priority="477">
      <formula>WEEKDAY(D$11,1)=$D$7</formula>
    </cfRule>
  </conditionalFormatting>
  <conditionalFormatting sqref="K10:L13">
    <cfRule type="expression" dxfId="334" priority="475">
      <formula>WEEKDAY(K$11,1)=$D$7</formula>
    </cfRule>
  </conditionalFormatting>
  <conditionalFormatting sqref="K14:L17">
    <cfRule type="expression" dxfId="333" priority="474">
      <formula>WEEKDAY(K$11,1)=$D$7</formula>
    </cfRule>
  </conditionalFormatting>
  <conditionalFormatting sqref="D5:J5">
    <cfRule type="expression" dxfId="332" priority="453">
      <formula>WEEKDAY(D$11,1)=$D$7</formula>
    </cfRule>
  </conditionalFormatting>
  <conditionalFormatting sqref="D19:J19">
    <cfRule type="expression" dxfId="331" priority="451">
      <formula>WEEKDAY(D$11,1)=$D$7</formula>
    </cfRule>
  </conditionalFormatting>
  <conditionalFormatting sqref="D18:J18">
    <cfRule type="expression" dxfId="330" priority="452">
      <formula>WEEKDAY(D$11,1)=$D$7</formula>
    </cfRule>
  </conditionalFormatting>
  <conditionalFormatting sqref="D6:J8">
    <cfRule type="expression" dxfId="329" priority="450">
      <formula>WEEKDAY(D$11,1)=$D$7</formula>
    </cfRule>
  </conditionalFormatting>
  <conditionalFormatting sqref="D22:J22">
    <cfRule type="expression" dxfId="328" priority="449">
      <formula>WEEKDAY(D$11,1)=$D$7</formula>
    </cfRule>
  </conditionalFormatting>
  <conditionalFormatting sqref="D9:J9">
    <cfRule type="expression" dxfId="327" priority="448">
      <formula>WEEKDAY(D$11,1)=$D$7</formula>
    </cfRule>
  </conditionalFormatting>
  <conditionalFormatting sqref="D10:J12">
    <cfRule type="expression" dxfId="326" priority="447">
      <formula>WEEKDAY(D$11,1)=$D$7</formula>
    </cfRule>
  </conditionalFormatting>
  <conditionalFormatting sqref="D13:J13">
    <cfRule type="expression" dxfId="325" priority="446">
      <formula>WEEKDAY(D$11,1)=$D$7</formula>
    </cfRule>
  </conditionalFormatting>
  <conditionalFormatting sqref="D14:J16">
    <cfRule type="expression" dxfId="324" priority="445">
      <formula>WEEKDAY(D$11,1)=$D$7</formula>
    </cfRule>
  </conditionalFormatting>
  <conditionalFormatting sqref="D17:J17">
    <cfRule type="expression" dxfId="323" priority="444">
      <formula>WEEKDAY(D$11,1)=$D$7</formula>
    </cfRule>
  </conditionalFormatting>
  <conditionalFormatting sqref="M5:S5">
    <cfRule type="expression" dxfId="322" priority="443">
      <formula>WEEKDAY(M$11,1)=$D$7</formula>
    </cfRule>
  </conditionalFormatting>
  <conditionalFormatting sqref="M19:S19">
    <cfRule type="expression" dxfId="321" priority="441">
      <formula>WEEKDAY(M$11,1)=$D$7</formula>
    </cfRule>
  </conditionalFormatting>
  <conditionalFormatting sqref="M18:S18">
    <cfRule type="expression" dxfId="320" priority="442">
      <formula>WEEKDAY(M$11,1)=$D$7</formula>
    </cfRule>
  </conditionalFormatting>
  <conditionalFormatting sqref="M6:S8">
    <cfRule type="expression" dxfId="319" priority="440">
      <formula>WEEKDAY(M$11,1)=$D$7</formula>
    </cfRule>
  </conditionalFormatting>
  <conditionalFormatting sqref="M22:S22">
    <cfRule type="expression" dxfId="318" priority="439">
      <formula>WEEKDAY(M$11,1)=$D$7</formula>
    </cfRule>
  </conditionalFormatting>
  <conditionalFormatting sqref="M9:S9">
    <cfRule type="expression" dxfId="317" priority="438">
      <formula>WEEKDAY(M$11,1)=$D$7</formula>
    </cfRule>
  </conditionalFormatting>
  <conditionalFormatting sqref="M10:S12">
    <cfRule type="expression" dxfId="316" priority="437">
      <formula>WEEKDAY(M$11,1)=$D$7</formula>
    </cfRule>
  </conditionalFormatting>
  <conditionalFormatting sqref="M13:S13">
    <cfRule type="expression" dxfId="315" priority="436">
      <formula>WEEKDAY(M$11,1)=$D$7</formula>
    </cfRule>
  </conditionalFormatting>
  <conditionalFormatting sqref="M14:S16">
    <cfRule type="expression" dxfId="314" priority="435">
      <formula>WEEKDAY(M$11,1)=$D$7</formula>
    </cfRule>
  </conditionalFormatting>
  <conditionalFormatting sqref="M17:S17">
    <cfRule type="expression" dxfId="313" priority="434">
      <formula>WEEKDAY(M$11,1)=$D$7</formula>
    </cfRule>
  </conditionalFormatting>
  <conditionalFormatting sqref="V5:AB5">
    <cfRule type="expression" dxfId="312" priority="433">
      <formula>WEEKDAY(V$11,1)=$D$7</formula>
    </cfRule>
  </conditionalFormatting>
  <conditionalFormatting sqref="V19:AB19">
    <cfRule type="expression" dxfId="311" priority="431">
      <formula>WEEKDAY(V$11,1)=$D$7</formula>
    </cfRule>
  </conditionalFormatting>
  <conditionalFormatting sqref="V18:AB18">
    <cfRule type="expression" dxfId="310" priority="432">
      <formula>WEEKDAY(V$11,1)=$D$7</formula>
    </cfRule>
  </conditionalFormatting>
  <conditionalFormatting sqref="V6:AB8">
    <cfRule type="expression" dxfId="309" priority="430">
      <formula>WEEKDAY(V$11,1)=$D$7</formula>
    </cfRule>
  </conditionalFormatting>
  <conditionalFormatting sqref="V22:AB22">
    <cfRule type="expression" dxfId="308" priority="429">
      <formula>WEEKDAY(V$11,1)=$D$7</formula>
    </cfRule>
  </conditionalFormatting>
  <conditionalFormatting sqref="V9:AB9">
    <cfRule type="expression" dxfId="307" priority="428">
      <formula>WEEKDAY(V$11,1)=$D$7</formula>
    </cfRule>
  </conditionalFormatting>
  <conditionalFormatting sqref="V10:AB12">
    <cfRule type="expression" dxfId="306" priority="427">
      <formula>WEEKDAY(V$11,1)=$D$7</formula>
    </cfRule>
  </conditionalFormatting>
  <conditionalFormatting sqref="V13:AB13">
    <cfRule type="expression" dxfId="305" priority="426">
      <formula>WEEKDAY(V$11,1)=$D$7</formula>
    </cfRule>
  </conditionalFormatting>
  <conditionalFormatting sqref="V14:AB16">
    <cfRule type="expression" dxfId="304" priority="425">
      <formula>WEEKDAY(V$11,1)=$D$7</formula>
    </cfRule>
  </conditionalFormatting>
  <conditionalFormatting sqref="V17:AB17">
    <cfRule type="expression" dxfId="303" priority="424">
      <formula>WEEKDAY(V$11,1)=$D$7</formula>
    </cfRule>
  </conditionalFormatting>
  <conditionalFormatting sqref="AE5:AK5">
    <cfRule type="expression" dxfId="302" priority="423">
      <formula>WEEKDAY(AE$11,1)=$D$7</formula>
    </cfRule>
  </conditionalFormatting>
  <conditionalFormatting sqref="AE19:AK19">
    <cfRule type="expression" dxfId="301" priority="421">
      <formula>WEEKDAY(AE$11,1)=$D$7</formula>
    </cfRule>
  </conditionalFormatting>
  <conditionalFormatting sqref="AE18:AK18">
    <cfRule type="expression" dxfId="300" priority="422">
      <formula>WEEKDAY(AE$11,1)=$D$7</formula>
    </cfRule>
  </conditionalFormatting>
  <conditionalFormatting sqref="AE6:AK8">
    <cfRule type="expression" dxfId="299" priority="420">
      <formula>WEEKDAY(AE$11,1)=$D$7</formula>
    </cfRule>
  </conditionalFormatting>
  <conditionalFormatting sqref="AE22:AK22">
    <cfRule type="expression" dxfId="298" priority="419">
      <formula>WEEKDAY(AE$11,1)=$D$7</formula>
    </cfRule>
  </conditionalFormatting>
  <conditionalFormatting sqref="AE9:AK9">
    <cfRule type="expression" dxfId="297" priority="418">
      <formula>WEEKDAY(AE$11,1)=$D$7</formula>
    </cfRule>
  </conditionalFormatting>
  <conditionalFormatting sqref="AE10:AK12">
    <cfRule type="expression" dxfId="296" priority="417">
      <formula>WEEKDAY(AE$11,1)=$D$7</formula>
    </cfRule>
  </conditionalFormatting>
  <conditionalFormatting sqref="AE13:AK13">
    <cfRule type="expression" dxfId="295" priority="416">
      <formula>WEEKDAY(AE$11,1)=$D$7</formula>
    </cfRule>
  </conditionalFormatting>
  <conditionalFormatting sqref="AE14:AK16">
    <cfRule type="expression" dxfId="294" priority="415">
      <formula>WEEKDAY(AE$11,1)=$D$7</formula>
    </cfRule>
  </conditionalFormatting>
  <conditionalFormatting sqref="AE17:AK17">
    <cfRule type="expression" dxfId="293" priority="414">
      <formula>WEEKDAY(AE$11,1)=$D$7</formula>
    </cfRule>
  </conditionalFormatting>
  <conditionalFormatting sqref="L23:L44">
    <cfRule type="expression" dxfId="292" priority="411">
      <formula>WEEKDAY(L$11,1)=$D$7</formula>
    </cfRule>
  </conditionalFormatting>
  <conditionalFormatting sqref="K23:K44">
    <cfRule type="expression" dxfId="291" priority="409">
      <formula>WEEKDAY(K$11,1)=$D$7</formula>
    </cfRule>
  </conditionalFormatting>
  <conditionalFormatting sqref="T23:T44">
    <cfRule type="expression" dxfId="290" priority="408">
      <formula>WEEKDAY(T$11,1)=$D$7</formula>
    </cfRule>
  </conditionalFormatting>
  <conditionalFormatting sqref="AC23:AC44">
    <cfRule type="expression" dxfId="289" priority="407">
      <formula>WEEKDAY(AC$11,1)=$D$7</formula>
    </cfRule>
  </conditionalFormatting>
  <conditionalFormatting sqref="AL23:AL44">
    <cfRule type="expression" dxfId="288" priority="406">
      <formula>WEEKDAY(AL$11,1)=$D$7</formula>
    </cfRule>
  </conditionalFormatting>
  <conditionalFormatting sqref="D23:J43">
    <cfRule type="expression" dxfId="287" priority="400">
      <formula>WEEKDAY(D$11,1)=$D$7</formula>
    </cfRule>
  </conditionalFormatting>
  <conditionalFormatting sqref="D44:J44">
    <cfRule type="expression" dxfId="286" priority="399">
      <formula>WEEKDAY(D$11,1)=$D$7</formula>
    </cfRule>
  </conditionalFormatting>
  <conditionalFormatting sqref="M23:S37">
    <cfRule type="expression" dxfId="285" priority="398">
      <formula>WEEKDAY(M$11,1)=$D$7</formula>
    </cfRule>
  </conditionalFormatting>
  <conditionalFormatting sqref="M44:S44">
    <cfRule type="expression" dxfId="284" priority="397">
      <formula>WEEKDAY(M$11,1)=$D$7</formula>
    </cfRule>
  </conditionalFormatting>
  <conditionalFormatting sqref="M38:S38">
    <cfRule type="expression" dxfId="283" priority="396">
      <formula>WEEKDAY(M$11,1)=$D$7</formula>
    </cfRule>
  </conditionalFormatting>
  <conditionalFormatting sqref="V23:AB37">
    <cfRule type="expression" dxfId="282" priority="395">
      <formula>WEEKDAY(V$11,1)=$D$7</formula>
    </cfRule>
  </conditionalFormatting>
  <conditionalFormatting sqref="V44:AB44">
    <cfRule type="expression" dxfId="281" priority="394">
      <formula>WEEKDAY(V$11,1)=$D$7</formula>
    </cfRule>
  </conditionalFormatting>
  <conditionalFormatting sqref="V38:AB38">
    <cfRule type="expression" dxfId="280" priority="393">
      <formula>WEEKDAY(V$11,1)=$D$7</formula>
    </cfRule>
  </conditionalFormatting>
  <conditionalFormatting sqref="AE23:AK37">
    <cfRule type="expression" dxfId="279" priority="392">
      <formula>WEEKDAY(AE$11,1)=$D$7</formula>
    </cfRule>
  </conditionalFormatting>
  <conditionalFormatting sqref="AE44:AK44">
    <cfRule type="expression" dxfId="278" priority="391">
      <formula>WEEKDAY(AE$11,1)=$D$7</formula>
    </cfRule>
  </conditionalFormatting>
  <conditionalFormatting sqref="AE38:AK38">
    <cfRule type="expression" dxfId="277" priority="390">
      <formula>WEEKDAY(AE$11,1)=$D$7</formula>
    </cfRule>
  </conditionalFormatting>
  <conditionalFormatting sqref="K45:L48">
    <cfRule type="expression" dxfId="276" priority="386">
      <formula>WEEKDAY(K$11,1)=$D$7</formula>
    </cfRule>
  </conditionalFormatting>
  <conditionalFormatting sqref="K55:L56">
    <cfRule type="expression" dxfId="275" priority="385">
      <formula>WEEKDAY(K$11,1)=$D$7</formula>
    </cfRule>
  </conditionalFormatting>
  <conditionalFormatting sqref="K54:L54">
    <cfRule type="expression" dxfId="274" priority="384">
      <formula>WEEKDAY(K$11,1)=$D$7</formula>
    </cfRule>
  </conditionalFormatting>
  <conditionalFormatting sqref="K57:L57">
    <cfRule type="expression" dxfId="273" priority="383">
      <formula>WEEKDAY(K$11,1)=$D$7</formula>
    </cfRule>
  </conditionalFormatting>
  <conditionalFormatting sqref="K58:L58">
    <cfRule type="expression" dxfId="272" priority="382">
      <formula>WEEKDAY(K$11,1)=$D$7</formula>
    </cfRule>
  </conditionalFormatting>
  <conditionalFormatting sqref="D48:J52">
    <cfRule type="expression" dxfId="271" priority="371">
      <formula>WEEKDAY(D$11,1)=$D$7</formula>
    </cfRule>
  </conditionalFormatting>
  <conditionalFormatting sqref="D45:J47">
    <cfRule type="expression" dxfId="270" priority="370">
      <formula>WEEKDAY(D$11,1)=$D$7</formula>
    </cfRule>
  </conditionalFormatting>
  <conditionalFormatting sqref="D58:J58">
    <cfRule type="expression" dxfId="269" priority="369">
      <formula>WEEKDAY(D$11,1)=$D$7</formula>
    </cfRule>
  </conditionalFormatting>
  <conditionalFormatting sqref="D53:J53">
    <cfRule type="expression" dxfId="268" priority="368">
      <formula>WEEKDAY(D$11,1)=$D$7</formula>
    </cfRule>
  </conditionalFormatting>
  <conditionalFormatting sqref="D56:J56">
    <cfRule type="expression" dxfId="267" priority="367">
      <formula>WEEKDAY(D$11,1)=$D$7</formula>
    </cfRule>
  </conditionalFormatting>
  <conditionalFormatting sqref="D57:J57">
    <cfRule type="expression" dxfId="266" priority="366">
      <formula>WEEKDAY(D$11,1)=$D$7</formula>
    </cfRule>
  </conditionalFormatting>
  <conditionalFormatting sqref="M48:S52">
    <cfRule type="expression" dxfId="265" priority="365">
      <formula>WEEKDAY(M$11,1)=$D$7</formula>
    </cfRule>
  </conditionalFormatting>
  <conditionalFormatting sqref="M45:S47">
    <cfRule type="expression" dxfId="264" priority="364">
      <formula>WEEKDAY(M$11,1)=$D$7</formula>
    </cfRule>
  </conditionalFormatting>
  <conditionalFormatting sqref="M58:S58">
    <cfRule type="expression" dxfId="263" priority="363">
      <formula>WEEKDAY(M$11,1)=$D$7</formula>
    </cfRule>
  </conditionalFormatting>
  <conditionalFormatting sqref="M53:S53">
    <cfRule type="expression" dxfId="262" priority="362">
      <formula>WEEKDAY(M$11,1)=$D$7</formula>
    </cfRule>
  </conditionalFormatting>
  <conditionalFormatting sqref="M56:S56">
    <cfRule type="expression" dxfId="261" priority="361">
      <formula>WEEKDAY(M$11,1)=$D$7</formula>
    </cfRule>
  </conditionalFormatting>
  <conditionalFormatting sqref="M57:S57">
    <cfRule type="expression" dxfId="260" priority="360">
      <formula>WEEKDAY(M$11,1)=$D$7</formula>
    </cfRule>
  </conditionalFormatting>
  <conditionalFormatting sqref="V48:AB52">
    <cfRule type="expression" dxfId="259" priority="359">
      <formula>WEEKDAY(V$11,1)=$D$7</formula>
    </cfRule>
  </conditionalFormatting>
  <conditionalFormatting sqref="V45:AB47">
    <cfRule type="expression" dxfId="258" priority="358">
      <formula>WEEKDAY(V$11,1)=$D$7</formula>
    </cfRule>
  </conditionalFormatting>
  <conditionalFormatting sqref="V58:AB58">
    <cfRule type="expression" dxfId="257" priority="357">
      <formula>WEEKDAY(V$11,1)=$D$7</formula>
    </cfRule>
  </conditionalFormatting>
  <conditionalFormatting sqref="V53:AB53">
    <cfRule type="expression" dxfId="256" priority="356">
      <formula>WEEKDAY(V$11,1)=$D$7</formula>
    </cfRule>
  </conditionalFormatting>
  <conditionalFormatting sqref="V56:AB56">
    <cfRule type="expression" dxfId="255" priority="355">
      <formula>WEEKDAY(V$11,1)=$D$7</formula>
    </cfRule>
  </conditionalFormatting>
  <conditionalFormatting sqref="V57:AB57">
    <cfRule type="expression" dxfId="254" priority="354">
      <formula>WEEKDAY(V$11,1)=$D$7</formula>
    </cfRule>
  </conditionalFormatting>
  <conditionalFormatting sqref="AE48:AK52">
    <cfRule type="expression" dxfId="253" priority="353">
      <formula>WEEKDAY(AE$11,1)=$D$7</formula>
    </cfRule>
  </conditionalFormatting>
  <conditionalFormatting sqref="AE45:AK47">
    <cfRule type="expression" dxfId="252" priority="352">
      <formula>WEEKDAY(AE$11,1)=$D$7</formula>
    </cfRule>
  </conditionalFormatting>
  <conditionalFormatting sqref="AE58:AK58">
    <cfRule type="expression" dxfId="251" priority="351">
      <formula>WEEKDAY(AE$11,1)=$D$7</formula>
    </cfRule>
  </conditionalFormatting>
  <conditionalFormatting sqref="AE53:AK53">
    <cfRule type="expression" dxfId="250" priority="350">
      <formula>WEEKDAY(AE$11,1)=$D$7</formula>
    </cfRule>
  </conditionalFormatting>
  <conditionalFormatting sqref="AE56:AK56">
    <cfRule type="expression" dxfId="249" priority="349">
      <formula>WEEKDAY(AE$11,1)=$D$7</formula>
    </cfRule>
  </conditionalFormatting>
  <conditionalFormatting sqref="AE57:AK57">
    <cfRule type="expression" dxfId="248" priority="348">
      <formula>WEEKDAY(AE$11,1)=$D$7</formula>
    </cfRule>
  </conditionalFormatting>
  <conditionalFormatting sqref="K72:L72">
    <cfRule type="expression" dxfId="247" priority="345">
      <formula>WEEKDAY(K$11,1)=$D$7</formula>
    </cfRule>
  </conditionalFormatting>
  <conditionalFormatting sqref="K73:L73">
    <cfRule type="expression" dxfId="246" priority="344">
      <formula>WEEKDAY(K$11,1)=$D$7</formula>
    </cfRule>
  </conditionalFormatting>
  <conditionalFormatting sqref="D59:J68">
    <cfRule type="expression" dxfId="245" priority="339">
      <formula>WEEKDAY(D$11,1)=$D$7</formula>
    </cfRule>
  </conditionalFormatting>
  <conditionalFormatting sqref="D69:J69">
    <cfRule type="expression" dxfId="244" priority="338">
      <formula>WEEKDAY(D$11,1)=$D$7</formula>
    </cfRule>
  </conditionalFormatting>
  <conditionalFormatting sqref="D72:J72">
    <cfRule type="expression" dxfId="243" priority="337">
      <formula>WEEKDAY(D$11,1)=$D$7</formula>
    </cfRule>
  </conditionalFormatting>
  <conditionalFormatting sqref="D73:J73">
    <cfRule type="expression" dxfId="242" priority="336">
      <formula>WEEKDAY(D$11,1)=$D$7</formula>
    </cfRule>
  </conditionalFormatting>
  <conditionalFormatting sqref="M59:S68">
    <cfRule type="expression" dxfId="241" priority="331">
      <formula>WEEKDAY(M$11,1)=$D$7</formula>
    </cfRule>
  </conditionalFormatting>
  <conditionalFormatting sqref="M69:S69">
    <cfRule type="expression" dxfId="240" priority="330">
      <formula>WEEKDAY(M$11,1)=$D$7</formula>
    </cfRule>
  </conditionalFormatting>
  <conditionalFormatting sqref="M72:S72">
    <cfRule type="expression" dxfId="239" priority="329">
      <formula>WEEKDAY(M$11,1)=$D$7</formula>
    </cfRule>
  </conditionalFormatting>
  <conditionalFormatting sqref="M73:S73">
    <cfRule type="expression" dxfId="238" priority="328">
      <formula>WEEKDAY(M$11,1)=$D$7</formula>
    </cfRule>
  </conditionalFormatting>
  <conditionalFormatting sqref="V59:AB68">
    <cfRule type="expression" dxfId="237" priority="327">
      <formula>WEEKDAY(V$11,1)=$D$7</formula>
    </cfRule>
  </conditionalFormatting>
  <conditionalFormatting sqref="V69:AB69">
    <cfRule type="expression" dxfId="236" priority="326">
      <formula>WEEKDAY(V$11,1)=$D$7</formula>
    </cfRule>
  </conditionalFormatting>
  <conditionalFormatting sqref="V72:AB72">
    <cfRule type="expression" dxfId="235" priority="325">
      <formula>WEEKDAY(V$11,1)=$D$7</formula>
    </cfRule>
  </conditionalFormatting>
  <conditionalFormatting sqref="V73:AB73">
    <cfRule type="expression" dxfId="234" priority="324">
      <formula>WEEKDAY(V$11,1)=$D$7</formula>
    </cfRule>
  </conditionalFormatting>
  <conditionalFormatting sqref="AE59:AK68">
    <cfRule type="expression" dxfId="233" priority="323">
      <formula>WEEKDAY(AE$11,1)=$D$7</formula>
    </cfRule>
  </conditionalFormatting>
  <conditionalFormatting sqref="AE69:AK69">
    <cfRule type="expression" dxfId="232" priority="322">
      <formula>WEEKDAY(AE$11,1)=$D$7</formula>
    </cfRule>
  </conditionalFormatting>
  <conditionalFormatting sqref="AE72:AK72">
    <cfRule type="expression" dxfId="231" priority="321">
      <formula>WEEKDAY(AE$11,1)=$D$7</formula>
    </cfRule>
  </conditionalFormatting>
  <conditionalFormatting sqref="AE73:AK73">
    <cfRule type="expression" dxfId="230" priority="320">
      <formula>WEEKDAY(AE$11,1)=$D$7</formula>
    </cfRule>
  </conditionalFormatting>
  <conditionalFormatting sqref="K85:L85">
    <cfRule type="expression" dxfId="229" priority="316">
      <formula>WEEKDAY(K$11,1)=$D$7</formula>
    </cfRule>
  </conditionalFormatting>
  <conditionalFormatting sqref="K95:L96">
    <cfRule type="expression" dxfId="228" priority="310">
      <formula>WEEKDAY(K$11,1)=$D$7</formula>
    </cfRule>
  </conditionalFormatting>
  <conditionalFormatting sqref="K80:L80">
    <cfRule type="expression" dxfId="227" priority="318">
      <formula>WEEKDAY(K$11,1)=$D$7</formula>
    </cfRule>
  </conditionalFormatting>
  <conditionalFormatting sqref="K92:L92">
    <cfRule type="expression" dxfId="226" priority="313">
      <formula>WEEKDAY(K$11,1)=$D$7</formula>
    </cfRule>
  </conditionalFormatting>
  <conditionalFormatting sqref="K86:L90">
    <cfRule type="expression" dxfId="225" priority="315">
      <formula>WEEKDAY(K$11,1)=$D$7</formula>
    </cfRule>
  </conditionalFormatting>
  <conditionalFormatting sqref="K91:L91">
    <cfRule type="expression" dxfId="224" priority="314">
      <formula>WEEKDAY(K$11,1)=$D$7</formula>
    </cfRule>
  </conditionalFormatting>
  <conditionalFormatting sqref="K93:L93">
    <cfRule type="expression" dxfId="223" priority="312">
      <formula>WEEKDAY(K$11,1)=$D$7</formula>
    </cfRule>
  </conditionalFormatting>
  <conditionalFormatting sqref="D77:J78">
    <cfRule type="expression" dxfId="222" priority="290">
      <formula>WEEKDAY(D$11,1)=$D$7</formula>
    </cfRule>
  </conditionalFormatting>
  <conditionalFormatting sqref="D79:J79">
    <cfRule type="expression" dxfId="221" priority="288">
      <formula>WEEKDAY(D$11,1)=$D$7</formula>
    </cfRule>
  </conditionalFormatting>
  <conditionalFormatting sqref="D91:J91">
    <cfRule type="expression" dxfId="220" priority="283">
      <formula>WEEKDAY(D$11,1)=$D$7</formula>
    </cfRule>
  </conditionalFormatting>
  <conditionalFormatting sqref="D80:J82">
    <cfRule type="expression" dxfId="219" priority="289">
      <formula>WEEKDAY(D$11,1)=$D$7</formula>
    </cfRule>
  </conditionalFormatting>
  <conditionalFormatting sqref="D83:J83">
    <cfRule type="expression" dxfId="218" priority="287">
      <formula>WEEKDAY(D$11,1)=$D$7</formula>
    </cfRule>
  </conditionalFormatting>
  <conditionalFormatting sqref="D84:J84">
    <cfRule type="expression" dxfId="217" priority="286">
      <formula>WEEKDAY(D$11,1)=$D$7</formula>
    </cfRule>
  </conditionalFormatting>
  <conditionalFormatting sqref="D89:J89">
    <cfRule type="expression" dxfId="216" priority="285">
      <formula>WEEKDAY(D$11,1)=$D$7</formula>
    </cfRule>
  </conditionalFormatting>
  <conditionalFormatting sqref="D90:J90">
    <cfRule type="expression" dxfId="215" priority="284">
      <formula>WEEKDAY(D$11,1)=$D$7</formula>
    </cfRule>
  </conditionalFormatting>
  <conditionalFormatting sqref="D93:J93">
    <cfRule type="expression" dxfId="214" priority="282">
      <formula>WEEKDAY(D$11,1)=$D$7</formula>
    </cfRule>
  </conditionalFormatting>
  <conditionalFormatting sqref="D92:J92">
    <cfRule type="expression" dxfId="213" priority="281">
      <formula>WEEKDAY(D$11,1)=$D$7</formula>
    </cfRule>
  </conditionalFormatting>
  <conditionalFormatting sqref="M94:S97">
    <cfRule type="expression" dxfId="212" priority="280">
      <formula>WEEKDAY(M$11,1)=$D$7</formula>
    </cfRule>
  </conditionalFormatting>
  <conditionalFormatting sqref="M77:S78">
    <cfRule type="expression" dxfId="211" priority="279">
      <formula>WEEKDAY(M$11,1)=$D$7</formula>
    </cfRule>
  </conditionalFormatting>
  <conditionalFormatting sqref="M79:S79">
    <cfRule type="expression" dxfId="210" priority="277">
      <formula>WEEKDAY(M$11,1)=$D$7</formula>
    </cfRule>
  </conditionalFormatting>
  <conditionalFormatting sqref="M91:S91">
    <cfRule type="expression" dxfId="209" priority="272">
      <formula>WEEKDAY(M$11,1)=$D$7</formula>
    </cfRule>
  </conditionalFormatting>
  <conditionalFormatting sqref="M80:S82">
    <cfRule type="expression" dxfId="208" priority="278">
      <formula>WEEKDAY(M$11,1)=$D$7</formula>
    </cfRule>
  </conditionalFormatting>
  <conditionalFormatting sqref="M83:S83">
    <cfRule type="expression" dxfId="207" priority="276">
      <formula>WEEKDAY(M$11,1)=$D$7</formula>
    </cfRule>
  </conditionalFormatting>
  <conditionalFormatting sqref="M84:S84">
    <cfRule type="expression" dxfId="206" priority="275">
      <formula>WEEKDAY(M$11,1)=$D$7</formula>
    </cfRule>
  </conditionalFormatting>
  <conditionalFormatting sqref="M89:S89">
    <cfRule type="expression" dxfId="205" priority="274">
      <formula>WEEKDAY(M$11,1)=$D$7</formula>
    </cfRule>
  </conditionalFormatting>
  <conditionalFormatting sqref="M90:S90">
    <cfRule type="expression" dxfId="204" priority="273">
      <formula>WEEKDAY(M$11,1)=$D$7</formula>
    </cfRule>
  </conditionalFormatting>
  <conditionalFormatting sqref="M93:S93">
    <cfRule type="expression" dxfId="203" priority="271">
      <formula>WEEKDAY(M$11,1)=$D$7</formula>
    </cfRule>
  </conditionalFormatting>
  <conditionalFormatting sqref="M92:S92">
    <cfRule type="expression" dxfId="202" priority="270">
      <formula>WEEKDAY(M$11,1)=$D$7</formula>
    </cfRule>
  </conditionalFormatting>
  <conditionalFormatting sqref="V94:AB97">
    <cfRule type="expression" dxfId="201" priority="269">
      <formula>WEEKDAY(V$11,1)=$D$7</formula>
    </cfRule>
  </conditionalFormatting>
  <conditionalFormatting sqref="V77:AB78">
    <cfRule type="expression" dxfId="200" priority="268">
      <formula>WEEKDAY(V$11,1)=$D$7</formula>
    </cfRule>
  </conditionalFormatting>
  <conditionalFormatting sqref="V79:AB79">
    <cfRule type="expression" dxfId="199" priority="266">
      <formula>WEEKDAY(V$11,1)=$D$7</formula>
    </cfRule>
  </conditionalFormatting>
  <conditionalFormatting sqref="V91:AB91">
    <cfRule type="expression" dxfId="198" priority="261">
      <formula>WEEKDAY(V$11,1)=$D$7</formula>
    </cfRule>
  </conditionalFormatting>
  <conditionalFormatting sqref="V80:AB82">
    <cfRule type="expression" dxfId="197" priority="267">
      <formula>WEEKDAY(V$11,1)=$D$7</formula>
    </cfRule>
  </conditionalFormatting>
  <conditionalFormatting sqref="V83:AB83">
    <cfRule type="expression" dxfId="196" priority="265">
      <formula>WEEKDAY(V$11,1)=$D$7</formula>
    </cfRule>
  </conditionalFormatting>
  <conditionalFormatting sqref="V84:AB84">
    <cfRule type="expression" dxfId="195" priority="264">
      <formula>WEEKDAY(V$11,1)=$D$7</formula>
    </cfRule>
  </conditionalFormatting>
  <conditionalFormatting sqref="V89:AB89">
    <cfRule type="expression" dxfId="194" priority="263">
      <formula>WEEKDAY(V$11,1)=$D$7</formula>
    </cfRule>
  </conditionalFormatting>
  <conditionalFormatting sqref="V90:AB90">
    <cfRule type="expression" dxfId="193" priority="262">
      <formula>WEEKDAY(V$11,1)=$D$7</formula>
    </cfRule>
  </conditionalFormatting>
  <conditionalFormatting sqref="V93:AB93">
    <cfRule type="expression" dxfId="192" priority="260">
      <formula>WEEKDAY(V$11,1)=$D$7</formula>
    </cfRule>
  </conditionalFormatting>
  <conditionalFormatting sqref="V92:AB92">
    <cfRule type="expression" dxfId="191" priority="259">
      <formula>WEEKDAY(V$11,1)=$D$7</formula>
    </cfRule>
  </conditionalFormatting>
  <conditionalFormatting sqref="AE94:AK97">
    <cfRule type="expression" dxfId="190" priority="258">
      <formula>WEEKDAY(AE$11,1)=$D$7</formula>
    </cfRule>
  </conditionalFormatting>
  <conditionalFormatting sqref="AE77:AK78">
    <cfRule type="expression" dxfId="189" priority="257">
      <formula>WEEKDAY(AE$11,1)=$D$7</formula>
    </cfRule>
  </conditionalFormatting>
  <conditionalFormatting sqref="AE79:AK79">
    <cfRule type="expression" dxfId="188" priority="255">
      <formula>WEEKDAY(AE$11,1)=$D$7</formula>
    </cfRule>
  </conditionalFormatting>
  <conditionalFormatting sqref="AE91:AK91">
    <cfRule type="expression" dxfId="187" priority="250">
      <formula>WEEKDAY(AE$11,1)=$D$7</formula>
    </cfRule>
  </conditionalFormatting>
  <conditionalFormatting sqref="AE80:AK82">
    <cfRule type="expression" dxfId="186" priority="256">
      <formula>WEEKDAY(AE$11,1)=$D$7</formula>
    </cfRule>
  </conditionalFormatting>
  <conditionalFormatting sqref="AE83:AK83">
    <cfRule type="expression" dxfId="185" priority="254">
      <formula>WEEKDAY(AE$11,1)=$D$7</formula>
    </cfRule>
  </conditionalFormatting>
  <conditionalFormatting sqref="AE84:AK84">
    <cfRule type="expression" dxfId="184" priority="253">
      <formula>WEEKDAY(AE$11,1)=$D$7</formula>
    </cfRule>
  </conditionalFormatting>
  <conditionalFormatting sqref="AE89:AK89">
    <cfRule type="expression" dxfId="183" priority="252">
      <formula>WEEKDAY(AE$11,1)=$D$7</formula>
    </cfRule>
  </conditionalFormatting>
  <conditionalFormatting sqref="AE90:AK90">
    <cfRule type="expression" dxfId="182" priority="251">
      <formula>WEEKDAY(AE$11,1)=$D$7</formula>
    </cfRule>
  </conditionalFormatting>
  <conditionalFormatting sqref="AE93:AK93">
    <cfRule type="expression" dxfId="181" priority="249">
      <formula>WEEKDAY(AE$11,1)=$D$7</formula>
    </cfRule>
  </conditionalFormatting>
  <conditionalFormatting sqref="AE92:AK92">
    <cfRule type="expression" dxfId="180" priority="248">
      <formula>WEEKDAY(AE$11,1)=$D$7</formula>
    </cfRule>
  </conditionalFormatting>
  <conditionalFormatting sqref="L98:L114">
    <cfRule type="expression" dxfId="179" priority="246">
      <formula>WEEKDAY(L$11,1)=$D$7</formula>
    </cfRule>
  </conditionalFormatting>
  <conditionalFormatting sqref="K98:K114">
    <cfRule type="expression" dxfId="178" priority="244">
      <formula>WEEKDAY(K$11,1)=$D$7</formula>
    </cfRule>
  </conditionalFormatting>
  <conditionalFormatting sqref="T98:T114">
    <cfRule type="expression" dxfId="177" priority="243">
      <formula>WEEKDAY(T$11,1)=$D$7</formula>
    </cfRule>
  </conditionalFormatting>
  <conditionalFormatting sqref="AC98:AC114">
    <cfRule type="expression" dxfId="176" priority="242">
      <formula>WEEKDAY(AC$11,1)=$D$7</formula>
    </cfRule>
  </conditionalFormatting>
  <conditionalFormatting sqref="AL98:AL114">
    <cfRule type="expression" dxfId="175" priority="241">
      <formula>WEEKDAY(AL$11,1)=$D$7</formula>
    </cfRule>
  </conditionalFormatting>
  <conditionalFormatting sqref="D98:J111">
    <cfRule type="expression" dxfId="174" priority="233">
      <formula>WEEKDAY(D$11,1)=$D$7</formula>
    </cfRule>
  </conditionalFormatting>
  <conditionalFormatting sqref="D113:J113">
    <cfRule type="expression" dxfId="173" priority="232">
      <formula>WEEKDAY(D$11,1)=$D$7</formula>
    </cfRule>
  </conditionalFormatting>
  <conditionalFormatting sqref="D114:J114">
    <cfRule type="expression" dxfId="172" priority="231">
      <formula>WEEKDAY(D$11,1)=$D$7</formula>
    </cfRule>
  </conditionalFormatting>
  <conditionalFormatting sqref="D112:J112">
    <cfRule type="expression" dxfId="171" priority="230">
      <formula>WEEKDAY(D$11,1)=$D$7</formula>
    </cfRule>
  </conditionalFormatting>
  <conditionalFormatting sqref="M98:S98">
    <cfRule type="expression" dxfId="170" priority="229">
      <formula>WEEKDAY(M$11,1)=$D$7</formula>
    </cfRule>
  </conditionalFormatting>
  <conditionalFormatting sqref="M113:S113">
    <cfRule type="expression" dxfId="169" priority="228">
      <formula>WEEKDAY(M$11,1)=$D$7</formula>
    </cfRule>
  </conditionalFormatting>
  <conditionalFormatting sqref="M114:S114">
    <cfRule type="expression" dxfId="168" priority="227">
      <formula>WEEKDAY(M$11,1)=$D$7</formula>
    </cfRule>
  </conditionalFormatting>
  <conditionalFormatting sqref="M112:S112">
    <cfRule type="expression" dxfId="167" priority="226">
      <formula>WEEKDAY(M$11,1)=$D$7</formula>
    </cfRule>
  </conditionalFormatting>
  <conditionalFormatting sqref="M99:O99">
    <cfRule type="expression" dxfId="166" priority="225">
      <formula>WEEKDAY(M$11,1)=$D$7</formula>
    </cfRule>
  </conditionalFormatting>
  <conditionalFormatting sqref="V98:AB111">
    <cfRule type="expression" dxfId="165" priority="224">
      <formula>WEEKDAY(V$11,1)=$D$7</formula>
    </cfRule>
  </conditionalFormatting>
  <conditionalFormatting sqref="V113:AB113">
    <cfRule type="expression" dxfId="164" priority="223">
      <formula>WEEKDAY(V$11,1)=$D$7</formula>
    </cfRule>
  </conditionalFormatting>
  <conditionalFormatting sqref="V114:AB114">
    <cfRule type="expression" dxfId="163" priority="222">
      <formula>WEEKDAY(V$11,1)=$D$7</formula>
    </cfRule>
  </conditionalFormatting>
  <conditionalFormatting sqref="V112:AB112">
    <cfRule type="expression" dxfId="162" priority="221">
      <formula>WEEKDAY(V$11,1)=$D$7</formula>
    </cfRule>
  </conditionalFormatting>
  <conditionalFormatting sqref="AE98:AK111">
    <cfRule type="expression" dxfId="161" priority="220">
      <formula>WEEKDAY(AE$11,1)=$D$7</formula>
    </cfRule>
  </conditionalFormatting>
  <conditionalFormatting sqref="AE113:AK113">
    <cfRule type="expression" dxfId="160" priority="219">
      <formula>WEEKDAY(AE$11,1)=$D$7</formula>
    </cfRule>
  </conditionalFormatting>
  <conditionalFormatting sqref="AE114:AK114">
    <cfRule type="expression" dxfId="159" priority="218">
      <formula>WEEKDAY(AE$11,1)=$D$7</formula>
    </cfRule>
  </conditionalFormatting>
  <conditionalFormatting sqref="AE112:AK112">
    <cfRule type="expression" dxfId="158" priority="217">
      <formula>WEEKDAY(AE$11,1)=$D$7</formula>
    </cfRule>
  </conditionalFormatting>
  <conditionalFormatting sqref="D115:J123 D125:J125 D128:J130 M128:S130 V128:AB130 AE128:AK130 M125:S125 V125:AB125 AE125:AK125">
    <cfRule type="expression" dxfId="157" priority="211">
      <formula>WEEKDAY(D$11,1)=$D$7</formula>
    </cfRule>
  </conditionalFormatting>
  <conditionalFormatting sqref="D124:J124">
    <cfRule type="expression" dxfId="156" priority="212">
      <formula>WEEKDAY(D$11,1)=$D$7</formula>
    </cfRule>
  </conditionalFormatting>
  <conditionalFormatting sqref="D126:J126">
    <cfRule type="expression" dxfId="155" priority="213">
      <formula>WEEKDAY(D$11,1)=$D$7</formula>
    </cfRule>
  </conditionalFormatting>
  <conditionalFormatting sqref="D127:J127">
    <cfRule type="expression" dxfId="154" priority="214">
      <formula>WEEKDAY(D$11,1)=$D$7</formula>
    </cfRule>
  </conditionalFormatting>
  <conditionalFormatting sqref="M115:S123">
    <cfRule type="expression" dxfId="153" priority="207">
      <formula>WEEKDAY(M$11,1)=$D$7</formula>
    </cfRule>
  </conditionalFormatting>
  <conditionalFormatting sqref="M124:S124">
    <cfRule type="expression" dxfId="152" priority="208">
      <formula>WEEKDAY(M$11,1)=$D$7</formula>
    </cfRule>
  </conditionalFormatting>
  <conditionalFormatting sqref="M126:S126">
    <cfRule type="expression" dxfId="151" priority="209">
      <formula>WEEKDAY(M$11,1)=$D$7</formula>
    </cfRule>
  </conditionalFormatting>
  <conditionalFormatting sqref="M127:S127">
    <cfRule type="expression" dxfId="150" priority="210">
      <formula>WEEKDAY(M$11,1)=$D$7</formula>
    </cfRule>
  </conditionalFormatting>
  <conditionalFormatting sqref="V115:AB123">
    <cfRule type="expression" dxfId="149" priority="203">
      <formula>WEEKDAY(V$11,1)=$D$7</formula>
    </cfRule>
  </conditionalFormatting>
  <conditionalFormatting sqref="V124:AB124">
    <cfRule type="expression" dxfId="148" priority="204">
      <formula>WEEKDAY(V$11,1)=$D$7</formula>
    </cfRule>
  </conditionalFormatting>
  <conditionalFormatting sqref="V126:AB126">
    <cfRule type="expression" dxfId="147" priority="205">
      <formula>WEEKDAY(V$11,1)=$D$7</formula>
    </cfRule>
  </conditionalFormatting>
  <conditionalFormatting sqref="V127:AB127">
    <cfRule type="expression" dxfId="146" priority="206">
      <formula>WEEKDAY(V$11,1)=$D$7</formula>
    </cfRule>
  </conditionalFormatting>
  <conditionalFormatting sqref="AE115:AK123">
    <cfRule type="expression" dxfId="145" priority="199">
      <formula>WEEKDAY(AE$11,1)=$D$7</formula>
    </cfRule>
  </conditionalFormatting>
  <conditionalFormatting sqref="AE124:AK124">
    <cfRule type="expression" dxfId="144" priority="200">
      <formula>WEEKDAY(AE$11,1)=$D$7</formula>
    </cfRule>
  </conditionalFormatting>
  <conditionalFormatting sqref="AE126:AK126">
    <cfRule type="expression" dxfId="143" priority="201">
      <formula>WEEKDAY(AE$11,1)=$D$7</formula>
    </cfRule>
  </conditionalFormatting>
  <conditionalFormatting sqref="AE127:AK127">
    <cfRule type="expression" dxfId="142" priority="202">
      <formula>WEEKDAY(AE$11,1)=$D$7</formula>
    </cfRule>
  </conditionalFormatting>
  <conditionalFormatting sqref="K131:L133">
    <cfRule type="expression" dxfId="141" priority="194">
      <formula>WEEKDAY(K$11,1)=$D$7</formula>
    </cfRule>
  </conditionalFormatting>
  <conditionalFormatting sqref="K139:L139">
    <cfRule type="expression" dxfId="140" priority="191">
      <formula>WEEKDAY(K$11,1)=$D$7</formula>
    </cfRule>
  </conditionalFormatting>
  <conditionalFormatting sqref="K134:L134">
    <cfRule type="expression" dxfId="139" priority="193">
      <formula>WEEKDAY(K$11,1)=$D$7</formula>
    </cfRule>
  </conditionalFormatting>
  <conditionalFormatting sqref="K145:L145">
    <cfRule type="expression" dxfId="138" priority="189">
      <formula>WEEKDAY(K$11,1)=$D$7</formula>
    </cfRule>
  </conditionalFormatting>
  <conditionalFormatting sqref="K144:L144">
    <cfRule type="expression" dxfId="137" priority="190">
      <formula>WEEKDAY(K$11,1)=$D$7</formula>
    </cfRule>
  </conditionalFormatting>
  <conditionalFormatting sqref="D134:J134">
    <cfRule type="expression" dxfId="136" priority="172">
      <formula>WEEKDAY(D$11,1)=$D$7</formula>
    </cfRule>
  </conditionalFormatting>
  <conditionalFormatting sqref="D138:J138">
    <cfRule type="expression" dxfId="135" priority="171">
      <formula>WEEKDAY(D$11,1)=$D$7</formula>
    </cfRule>
  </conditionalFormatting>
  <conditionalFormatting sqref="D139:J139">
    <cfRule type="expression" dxfId="134" priority="170">
      <formula>WEEKDAY(D$11,1)=$D$7</formula>
    </cfRule>
  </conditionalFormatting>
  <conditionalFormatting sqref="D145:J145">
    <cfRule type="expression" dxfId="133" priority="168">
      <formula>WEEKDAY(D$11,1)=$D$7</formula>
    </cfRule>
  </conditionalFormatting>
  <conditionalFormatting sqref="D131:J133">
    <cfRule type="expression" dxfId="132" priority="174">
      <formula>WEEKDAY(D$11,1)=$D$7</formula>
    </cfRule>
  </conditionalFormatting>
  <conditionalFormatting sqref="D135:J137">
    <cfRule type="expression" dxfId="131" priority="173">
      <formula>WEEKDAY(D$11,1)=$D$7</formula>
    </cfRule>
  </conditionalFormatting>
  <conditionalFormatting sqref="D144:J144">
    <cfRule type="expression" dxfId="130" priority="169">
      <formula>WEEKDAY(D$11,1)=$D$7</formula>
    </cfRule>
  </conditionalFormatting>
  <conditionalFormatting sqref="M134:S134">
    <cfRule type="expression" dxfId="129" priority="165">
      <formula>WEEKDAY(M$11,1)=$D$7</formula>
    </cfRule>
  </conditionalFormatting>
  <conditionalFormatting sqref="M138:S138">
    <cfRule type="expression" dxfId="128" priority="164">
      <formula>WEEKDAY(M$11,1)=$D$7</formula>
    </cfRule>
  </conditionalFormatting>
  <conditionalFormatting sqref="M139:S139">
    <cfRule type="expression" dxfId="127" priority="163">
      <formula>WEEKDAY(M$11,1)=$D$7</formula>
    </cfRule>
  </conditionalFormatting>
  <conditionalFormatting sqref="M145:S145">
    <cfRule type="expression" dxfId="126" priority="161">
      <formula>WEEKDAY(M$11,1)=$D$7</formula>
    </cfRule>
  </conditionalFormatting>
  <conditionalFormatting sqref="M131:S133">
    <cfRule type="expression" dxfId="125" priority="167">
      <formula>WEEKDAY(M$11,1)=$D$7</formula>
    </cfRule>
  </conditionalFormatting>
  <conditionalFormatting sqref="M135:S137">
    <cfRule type="expression" dxfId="124" priority="166">
      <formula>WEEKDAY(M$11,1)=$D$7</formula>
    </cfRule>
  </conditionalFormatting>
  <conditionalFormatting sqref="M144:S144">
    <cfRule type="expression" dxfId="123" priority="162">
      <formula>WEEKDAY(M$11,1)=$D$7</formula>
    </cfRule>
  </conditionalFormatting>
  <conditionalFormatting sqref="V134:AB134">
    <cfRule type="expression" dxfId="122" priority="158">
      <formula>WEEKDAY(V$11,1)=$D$7</formula>
    </cfRule>
  </conditionalFormatting>
  <conditionalFormatting sqref="V138:AB138">
    <cfRule type="expression" dxfId="121" priority="157">
      <formula>WEEKDAY(V$11,1)=$D$7</formula>
    </cfRule>
  </conditionalFormatting>
  <conditionalFormatting sqref="V139:AB139">
    <cfRule type="expression" dxfId="120" priority="156">
      <formula>WEEKDAY(V$11,1)=$D$7</formula>
    </cfRule>
  </conditionalFormatting>
  <conditionalFormatting sqref="V145:AB145">
    <cfRule type="expression" dxfId="119" priority="154">
      <formula>WEEKDAY(V$11,1)=$D$7</formula>
    </cfRule>
  </conditionalFormatting>
  <conditionalFormatting sqref="V131:AB133">
    <cfRule type="expression" dxfId="118" priority="160">
      <formula>WEEKDAY(V$11,1)=$D$7</formula>
    </cfRule>
  </conditionalFormatting>
  <conditionalFormatting sqref="V135:AB137">
    <cfRule type="expression" dxfId="117" priority="159">
      <formula>WEEKDAY(V$11,1)=$D$7</formula>
    </cfRule>
  </conditionalFormatting>
  <conditionalFormatting sqref="V144:AB144">
    <cfRule type="expression" dxfId="116" priority="155">
      <formula>WEEKDAY(V$11,1)=$D$7</formula>
    </cfRule>
  </conditionalFormatting>
  <conditionalFormatting sqref="AE134:AK134">
    <cfRule type="expression" dxfId="115" priority="151">
      <formula>WEEKDAY(AE$11,1)=$D$7</formula>
    </cfRule>
  </conditionalFormatting>
  <conditionalFormatting sqref="AE138:AK138">
    <cfRule type="expression" dxfId="114" priority="150">
      <formula>WEEKDAY(AE$11,1)=$D$7</formula>
    </cfRule>
  </conditionalFormatting>
  <conditionalFormatting sqref="AE139:AK139">
    <cfRule type="expression" dxfId="113" priority="149">
      <formula>WEEKDAY(AE$11,1)=$D$7</formula>
    </cfRule>
  </conditionalFormatting>
  <conditionalFormatting sqref="AE145:AK145">
    <cfRule type="expression" dxfId="112" priority="147">
      <formula>WEEKDAY(AE$11,1)=$D$7</formula>
    </cfRule>
  </conditionalFormatting>
  <conditionalFormatting sqref="AE131:AK133">
    <cfRule type="expression" dxfId="111" priority="153">
      <formula>WEEKDAY(AE$11,1)=$D$7</formula>
    </cfRule>
  </conditionalFormatting>
  <conditionalFormatting sqref="AE135:AK137">
    <cfRule type="expression" dxfId="110" priority="152">
      <formula>WEEKDAY(AE$11,1)=$D$7</formula>
    </cfRule>
  </conditionalFormatting>
  <conditionalFormatting sqref="AE144:AK144">
    <cfRule type="expression" dxfId="109" priority="148">
      <formula>WEEKDAY(AE$11,1)=$D$7</formula>
    </cfRule>
  </conditionalFormatting>
  <conditionalFormatting sqref="D146:J153">
    <cfRule type="expression" dxfId="108" priority="144">
      <formula>WEEKDAY(D$11,1)=$D$7</formula>
    </cfRule>
  </conditionalFormatting>
  <conditionalFormatting sqref="M146:S153">
    <cfRule type="expression" dxfId="107" priority="143">
      <formula>WEEKDAY(M$11,1)=$D$7</formula>
    </cfRule>
  </conditionalFormatting>
  <conditionalFormatting sqref="V146:AB153">
    <cfRule type="expression" dxfId="106" priority="142">
      <formula>WEEKDAY(V$11,1)=$D$7</formula>
    </cfRule>
  </conditionalFormatting>
  <conditionalFormatting sqref="AE146:AK153">
    <cfRule type="expression" dxfId="105" priority="141">
      <formula>WEEKDAY(AE$11,1)=$D$7</formula>
    </cfRule>
  </conditionalFormatting>
  <conditionalFormatting sqref="L154:L166">
    <cfRule type="expression" dxfId="104" priority="139">
      <formula>WEEKDAY(L$11,1)=$D$7</formula>
    </cfRule>
  </conditionalFormatting>
  <conditionalFormatting sqref="K154:K166">
    <cfRule type="expression" dxfId="103" priority="137">
      <formula>WEEKDAY(K$11,1)=$D$7</formula>
    </cfRule>
  </conditionalFormatting>
  <conditionalFormatting sqref="T154:T166">
    <cfRule type="expression" dxfId="102" priority="136">
      <formula>WEEKDAY(T$11,1)=$D$7</formula>
    </cfRule>
  </conditionalFormatting>
  <conditionalFormatting sqref="AC154:AC166">
    <cfRule type="expression" dxfId="101" priority="135">
      <formula>WEEKDAY(AC$11,1)=$D$7</formula>
    </cfRule>
  </conditionalFormatting>
  <conditionalFormatting sqref="AL154:AL166">
    <cfRule type="expression" dxfId="100" priority="134">
      <formula>WEEKDAY(AL$11,1)=$D$7</formula>
    </cfRule>
  </conditionalFormatting>
  <conditionalFormatting sqref="D154:J166">
    <cfRule type="expression" dxfId="99" priority="130">
      <formula>WEEKDAY(D$11,1)=$D$7</formula>
    </cfRule>
  </conditionalFormatting>
  <conditionalFormatting sqref="M154:S166">
    <cfRule type="expression" dxfId="98" priority="129">
      <formula>WEEKDAY(M$11,1)=$D$7</formula>
    </cfRule>
  </conditionalFormatting>
  <conditionalFormatting sqref="V154:AB166">
    <cfRule type="expression" dxfId="97" priority="128">
      <formula>WEEKDAY(V$11,1)=$D$7</formula>
    </cfRule>
  </conditionalFormatting>
  <conditionalFormatting sqref="AE154:AK166">
    <cfRule type="expression" dxfId="96" priority="127">
      <formula>WEEKDAY(AE$11,1)=$D$7</formula>
    </cfRule>
  </conditionalFormatting>
  <conditionalFormatting sqref="K167:K176">
    <cfRule type="expression" dxfId="95" priority="122">
      <formula>WEEKDAY(K$11,1)=$D$7</formula>
    </cfRule>
  </conditionalFormatting>
  <conditionalFormatting sqref="T167:T176">
    <cfRule type="expression" dxfId="94" priority="121">
      <formula>WEEKDAY(T$11,1)=$D$7</formula>
    </cfRule>
  </conditionalFormatting>
  <conditionalFormatting sqref="AC167:AC176">
    <cfRule type="expression" dxfId="93" priority="120">
      <formula>WEEKDAY(AC$11,1)=$D$7</formula>
    </cfRule>
  </conditionalFormatting>
  <conditionalFormatting sqref="AL167:AL176">
    <cfRule type="expression" dxfId="92" priority="119">
      <formula>WEEKDAY(AL$11,1)=$D$7</formula>
    </cfRule>
  </conditionalFormatting>
  <conditionalFormatting sqref="D167:J173">
    <cfRule type="expression" dxfId="91" priority="113">
      <formula>WEEKDAY(D$11,1)=$D$7</formula>
    </cfRule>
  </conditionalFormatting>
  <conditionalFormatting sqref="D173:J173">
    <cfRule type="expression" dxfId="90" priority="112">
      <formula>WEEKDAY(D$11,1)=$D$7</formula>
    </cfRule>
  </conditionalFormatting>
  <conditionalFormatting sqref="D173:J173">
    <cfRule type="expression" dxfId="89" priority="111">
      <formula>WEEKDAY(D$11,1)=$D$7</formula>
    </cfRule>
  </conditionalFormatting>
  <conditionalFormatting sqref="M167:S173">
    <cfRule type="expression" dxfId="88" priority="110">
      <formula>WEEKDAY(M$11,1)=$D$7</formula>
    </cfRule>
  </conditionalFormatting>
  <conditionalFormatting sqref="M173:S173">
    <cfRule type="expression" dxfId="87" priority="109">
      <formula>WEEKDAY(M$11,1)=$D$7</formula>
    </cfRule>
  </conditionalFormatting>
  <conditionalFormatting sqref="M173:S173">
    <cfRule type="expression" dxfId="86" priority="108">
      <formula>WEEKDAY(M$11,1)=$D$7</formula>
    </cfRule>
  </conditionalFormatting>
  <conditionalFormatting sqref="V167:AB173">
    <cfRule type="expression" dxfId="85" priority="107">
      <formula>WEEKDAY(V$11,1)=$D$7</formula>
    </cfRule>
  </conditionalFormatting>
  <conditionalFormatting sqref="V173:AB173">
    <cfRule type="expression" dxfId="84" priority="106">
      <formula>WEEKDAY(V$11,1)=$D$7</formula>
    </cfRule>
  </conditionalFormatting>
  <conditionalFormatting sqref="V173:AB173">
    <cfRule type="expression" dxfId="83" priority="105">
      <formula>WEEKDAY(V$11,1)=$D$7</formula>
    </cfRule>
  </conditionalFormatting>
  <conditionalFormatting sqref="AE167:AK173">
    <cfRule type="expression" dxfId="82" priority="104">
      <formula>WEEKDAY(AE$11,1)=$D$7</formula>
    </cfRule>
  </conditionalFormatting>
  <conditionalFormatting sqref="AE173:AK173">
    <cfRule type="expression" dxfId="81" priority="103">
      <formula>WEEKDAY(AE$11,1)=$D$7</formula>
    </cfRule>
  </conditionalFormatting>
  <conditionalFormatting sqref="AE173:AK173">
    <cfRule type="expression" dxfId="80" priority="102">
      <formula>WEEKDAY(AE$11,1)=$D$7</formula>
    </cfRule>
  </conditionalFormatting>
  <conditionalFormatting sqref="D174:J176">
    <cfRule type="expression" dxfId="79" priority="98">
      <formula>WEEKDAY(D$11,1)=$D$7</formula>
    </cfRule>
  </conditionalFormatting>
  <conditionalFormatting sqref="M174:S176">
    <cfRule type="expression" dxfId="78" priority="97">
      <formula>WEEKDAY(M$11,1)=$D$7</formula>
    </cfRule>
  </conditionalFormatting>
  <conditionalFormatting sqref="V174:AB176">
    <cfRule type="expression" dxfId="77" priority="96">
      <formula>WEEKDAY(V$11,1)=$D$7</formula>
    </cfRule>
  </conditionalFormatting>
  <conditionalFormatting sqref="AE174:AK176">
    <cfRule type="expression" dxfId="76" priority="95">
      <formula>WEEKDAY(AE$11,1)=$D$7</formula>
    </cfRule>
  </conditionalFormatting>
  <conditionalFormatting sqref="L177:L183">
    <cfRule type="expression" dxfId="75" priority="93">
      <formula>WEEKDAY(L$11,1)=$D$7</formula>
    </cfRule>
  </conditionalFormatting>
  <conditionalFormatting sqref="K177:K183">
    <cfRule type="expression" dxfId="74" priority="91">
      <formula>WEEKDAY(K$11,1)=$D$7</formula>
    </cfRule>
  </conditionalFormatting>
  <conditionalFormatting sqref="T177:T183">
    <cfRule type="expression" dxfId="73" priority="90">
      <formula>WEEKDAY(T$11,1)=$D$7</formula>
    </cfRule>
  </conditionalFormatting>
  <conditionalFormatting sqref="AC177:AC183">
    <cfRule type="expression" dxfId="72" priority="89">
      <formula>WEEKDAY(AC$11,1)=$D$7</formula>
    </cfRule>
  </conditionalFormatting>
  <conditionalFormatting sqref="AL177:AL183">
    <cfRule type="expression" dxfId="71" priority="88">
      <formula>WEEKDAY(AL$11,1)=$D$7</formula>
    </cfRule>
  </conditionalFormatting>
  <conditionalFormatting sqref="D177:J177">
    <cfRule type="expression" dxfId="70" priority="85">
      <formula>WEEKDAY(D$11,1)=$D$7</formula>
    </cfRule>
  </conditionalFormatting>
  <conditionalFormatting sqref="D178:J178">
    <cfRule type="expression" dxfId="69" priority="84">
      <formula>WEEKDAY(D$11,1)=$D$7</formula>
    </cfRule>
  </conditionalFormatting>
  <conditionalFormatting sqref="D180:J183">
    <cfRule type="expression" dxfId="68" priority="80">
      <formula>WEEKDAY(D$11,1)=$D$7</formula>
    </cfRule>
  </conditionalFormatting>
  <conditionalFormatting sqref="M180:S183">
    <cfRule type="expression" dxfId="67" priority="79">
      <formula>WEEKDAY(M$11,1)=$D$7</formula>
    </cfRule>
  </conditionalFormatting>
  <conditionalFormatting sqref="V180:AB183">
    <cfRule type="expression" dxfId="66" priority="78">
      <formula>WEEKDAY(V$11,1)=$D$7</formula>
    </cfRule>
  </conditionalFormatting>
  <conditionalFormatting sqref="AE180:AK183">
    <cfRule type="expression" dxfId="65" priority="77">
      <formula>WEEKDAY(AE$11,1)=$D$7</formula>
    </cfRule>
  </conditionalFormatting>
  <conditionalFormatting sqref="M177:S177">
    <cfRule type="expression" dxfId="64" priority="76">
      <formula>WEEKDAY(M$11,1)=$D$7</formula>
    </cfRule>
  </conditionalFormatting>
  <conditionalFormatting sqref="M178:S178">
    <cfRule type="expression" dxfId="63" priority="75">
      <formula>WEEKDAY(M$11,1)=$D$7</formula>
    </cfRule>
  </conditionalFormatting>
  <conditionalFormatting sqref="V177:AB177">
    <cfRule type="expression" dxfId="62" priority="74">
      <formula>WEEKDAY(V$11,1)=$D$7</formula>
    </cfRule>
  </conditionalFormatting>
  <conditionalFormatting sqref="V178:AB178">
    <cfRule type="expression" dxfId="61" priority="73">
      <formula>WEEKDAY(V$11,1)=$D$7</formula>
    </cfRule>
  </conditionalFormatting>
  <conditionalFormatting sqref="AE177:AK177">
    <cfRule type="expression" dxfId="60" priority="72">
      <formula>WEEKDAY(AE$11,1)=$D$7</formula>
    </cfRule>
  </conditionalFormatting>
  <conditionalFormatting sqref="AE178:AK178">
    <cfRule type="expression" dxfId="59" priority="71">
      <formula>WEEKDAY(AE$11,1)=$D$7</formula>
    </cfRule>
  </conditionalFormatting>
  <conditionalFormatting sqref="L184:L193">
    <cfRule type="expression" dxfId="58" priority="69">
      <formula>WEEKDAY(L$11,1)=$D$7</formula>
    </cfRule>
  </conditionalFormatting>
  <conditionalFormatting sqref="K184:K193">
    <cfRule type="expression" dxfId="57" priority="67">
      <formula>WEEKDAY(K$11,1)=$D$7</formula>
    </cfRule>
  </conditionalFormatting>
  <conditionalFormatting sqref="T184:T193">
    <cfRule type="expression" dxfId="56" priority="66">
      <formula>WEEKDAY(T$11,1)=$D$7</formula>
    </cfRule>
  </conditionalFormatting>
  <conditionalFormatting sqref="AC184:AC193">
    <cfRule type="expression" dxfId="55" priority="65">
      <formula>WEEKDAY(AC$11,1)=$D$7</formula>
    </cfRule>
  </conditionalFormatting>
  <conditionalFormatting sqref="AL184:AL193">
    <cfRule type="expression" dxfId="54" priority="64">
      <formula>WEEKDAY(AL$11,1)=$D$7</formula>
    </cfRule>
  </conditionalFormatting>
  <conditionalFormatting sqref="D184:J193">
    <cfRule type="expression" dxfId="53" priority="60">
      <formula>WEEKDAY(D$11,1)=$D$7</formula>
    </cfRule>
  </conditionalFormatting>
  <conditionalFormatting sqref="M184:S193">
    <cfRule type="expression" dxfId="52" priority="59">
      <formula>WEEKDAY(M$11,1)=$D$7</formula>
    </cfRule>
  </conditionalFormatting>
  <conditionalFormatting sqref="V184:AB193">
    <cfRule type="expression" dxfId="51" priority="58">
      <formula>WEEKDAY(V$11,1)=$D$7</formula>
    </cfRule>
  </conditionalFormatting>
  <conditionalFormatting sqref="AE184:AK193">
    <cfRule type="expression" dxfId="50" priority="57">
      <formula>WEEKDAY(AE$11,1)=$D$7</formula>
    </cfRule>
  </conditionalFormatting>
  <conditionalFormatting sqref="L194:L212">
    <cfRule type="expression" dxfId="49" priority="54">
      <formula>WEEKDAY(L$11,1)=$D$7</formula>
    </cfRule>
  </conditionalFormatting>
  <conditionalFormatting sqref="K194:K212">
    <cfRule type="expression" dxfId="48" priority="52">
      <formula>WEEKDAY(K$11,1)=$D$7</formula>
    </cfRule>
  </conditionalFormatting>
  <conditionalFormatting sqref="T194:T212">
    <cfRule type="expression" dxfId="47" priority="51">
      <formula>WEEKDAY(T$11,1)=$D$7</formula>
    </cfRule>
  </conditionalFormatting>
  <conditionalFormatting sqref="AC194:AC212">
    <cfRule type="expression" dxfId="46" priority="50">
      <formula>WEEKDAY(AC$11,1)=$D$7</formula>
    </cfRule>
  </conditionalFormatting>
  <conditionalFormatting sqref="AL194:AL212">
    <cfRule type="expression" dxfId="45" priority="49">
      <formula>WEEKDAY(AL$11,1)=$D$7</formula>
    </cfRule>
  </conditionalFormatting>
  <conditionalFormatting sqref="D194:J212">
    <cfRule type="expression" dxfId="44" priority="45">
      <formula>WEEKDAY(D$11,1)=$D$7</formula>
    </cfRule>
  </conditionalFormatting>
  <conditionalFormatting sqref="M194:S212">
    <cfRule type="expression" dxfId="43" priority="44">
      <formula>WEEKDAY(M$11,1)=$D$7</formula>
    </cfRule>
  </conditionalFormatting>
  <conditionalFormatting sqref="V194:AB212">
    <cfRule type="expression" dxfId="42" priority="43">
      <formula>WEEKDAY(V$11,1)=$D$7</formula>
    </cfRule>
  </conditionalFormatting>
  <conditionalFormatting sqref="AE194:AK212">
    <cfRule type="expression" dxfId="41" priority="42">
      <formula>WEEKDAY(AE$11,1)=$D$7</formula>
    </cfRule>
  </conditionalFormatting>
  <conditionalFormatting sqref="D213:J229">
    <cfRule type="expression" dxfId="40" priority="39">
      <formula>WEEKDAY(D$11,1)=$D$7</formula>
    </cfRule>
  </conditionalFormatting>
  <conditionalFormatting sqref="M213:S229">
    <cfRule type="expression" dxfId="39" priority="38">
      <formula>WEEKDAY(M$11,1)=$D$7</formula>
    </cfRule>
  </conditionalFormatting>
  <conditionalFormatting sqref="V213:AB229">
    <cfRule type="expression" dxfId="38" priority="37">
      <formula>WEEKDAY(V$11,1)=$D$7</formula>
    </cfRule>
  </conditionalFormatting>
  <conditionalFormatting sqref="AE213:AK229">
    <cfRule type="expression" dxfId="37" priority="36">
      <formula>WEEKDAY(AE$11,1)=$D$7</formula>
    </cfRule>
  </conditionalFormatting>
  <conditionalFormatting sqref="L230:L238">
    <cfRule type="expression" dxfId="36" priority="33">
      <formula>WEEKDAY(L$11,1)=$D$7</formula>
    </cfRule>
  </conditionalFormatting>
  <conditionalFormatting sqref="K230:K238">
    <cfRule type="expression" dxfId="35" priority="31">
      <formula>WEEKDAY(K$11,1)=$D$7</formula>
    </cfRule>
  </conditionalFormatting>
  <conditionalFormatting sqref="T230:T238">
    <cfRule type="expression" dxfId="34" priority="30">
      <formula>WEEKDAY(T$11,1)=$D$7</formula>
    </cfRule>
  </conditionalFormatting>
  <conditionalFormatting sqref="AC230:AC238">
    <cfRule type="expression" dxfId="33" priority="29">
      <formula>WEEKDAY(AC$11,1)=$D$7</formula>
    </cfRule>
  </conditionalFormatting>
  <conditionalFormatting sqref="AL230:AL238">
    <cfRule type="expression" dxfId="32" priority="28">
      <formula>WEEKDAY(AL$11,1)=$D$7</formula>
    </cfRule>
  </conditionalFormatting>
  <conditionalFormatting sqref="D238:J238">
    <cfRule type="expression" dxfId="31" priority="24">
      <formula>WEEKDAY(D$11,1)=$D$7</formula>
    </cfRule>
  </conditionalFormatting>
  <conditionalFormatting sqref="D230:J237">
    <cfRule type="expression" dxfId="30" priority="23">
      <formula>WEEKDAY(D$11,1)=$D$7</formula>
    </cfRule>
  </conditionalFormatting>
  <conditionalFormatting sqref="M238:S238">
    <cfRule type="expression" dxfId="29" priority="22">
      <formula>WEEKDAY(M$11,1)=$D$7</formula>
    </cfRule>
  </conditionalFormatting>
  <conditionalFormatting sqref="M230:S237">
    <cfRule type="expression" dxfId="28" priority="21">
      <formula>WEEKDAY(M$11,1)=$D$7</formula>
    </cfRule>
  </conditionalFormatting>
  <conditionalFormatting sqref="V238:AB238">
    <cfRule type="expression" dxfId="27" priority="20">
      <formula>WEEKDAY(V$11,1)=$D$7</formula>
    </cfRule>
  </conditionalFormatting>
  <conditionalFormatting sqref="V230:AB237">
    <cfRule type="expression" dxfId="26" priority="19">
      <formula>WEEKDAY(V$11,1)=$D$7</formula>
    </cfRule>
  </conditionalFormatting>
  <conditionalFormatting sqref="AE238:AK238">
    <cfRule type="expression" dxfId="25" priority="18">
      <formula>WEEKDAY(AE$11,1)=$D$7</formula>
    </cfRule>
  </conditionalFormatting>
  <conditionalFormatting sqref="AE230:AK237">
    <cfRule type="expression" dxfId="24" priority="17">
      <formula>WEEKDAY(AE$11,1)=$D$7</formula>
    </cfRule>
  </conditionalFormatting>
  <conditionalFormatting sqref="L5:L245">
    <cfRule type="expression" dxfId="23" priority="13">
      <formula>WEEKDAY(L$11,1)=$D$7</formula>
    </cfRule>
  </conditionalFormatting>
  <conditionalFormatting sqref="K5:K245">
    <cfRule type="expression" dxfId="22" priority="11">
      <formula>WEEKDAY(K$11,1)=$D$7</formula>
    </cfRule>
  </conditionalFormatting>
  <conditionalFormatting sqref="T5:T245">
    <cfRule type="expression" dxfId="21" priority="10">
      <formula>WEEKDAY(T$11,1)=$D$7</formula>
    </cfRule>
  </conditionalFormatting>
  <conditionalFormatting sqref="AC5:AC245">
    <cfRule type="expression" dxfId="20" priority="9">
      <formula>WEEKDAY(AC$11,1)=$D$7</formula>
    </cfRule>
  </conditionalFormatting>
  <conditionalFormatting sqref="AL5:AL245">
    <cfRule type="expression" dxfId="19" priority="8">
      <formula>WEEKDAY(AL$11,1)=$D$7</formula>
    </cfRule>
  </conditionalFormatting>
  <conditionalFormatting sqref="D5:J245">
    <cfRule type="expression" dxfId="18" priority="5">
      <formula>WEEKDAY(D$11,1)=$D$7</formula>
    </cfRule>
  </conditionalFormatting>
  <conditionalFormatting sqref="M5:S245">
    <cfRule type="expression" dxfId="17" priority="3">
      <formula>WEEKDAY(M$11,1)=$D$7</formula>
    </cfRule>
  </conditionalFormatting>
  <conditionalFormatting sqref="V5:AB245">
    <cfRule type="expression" dxfId="16" priority="2">
      <formula>WEEKDAY(V$11,1)=$D$7</formula>
    </cfRule>
  </conditionalFormatting>
  <conditionalFormatting sqref="AE5:AK245">
    <cfRule type="expression" dxfId="15" priority="1">
      <formula>WEEKDAY(AE$11,1)=$D$7</formula>
    </cfRule>
  </conditionalFormatting>
  <dataValidations count="4">
    <dataValidation type="custom" allowBlank="1" showInputMessage="1" showErrorMessage="1" error="Na Wa Oh!!! _x000a_Na staff number be that wey you type? Na trouble you dey find abi" sqref="C5:C44 C59:C114 C131:C183 C194:C229 C239:C245" xr:uid="{00000000-0002-0000-0000-000000000000}">
      <formula1>AND(EXACT(LEFT(C5,4),"1800"),LEN(C5)=8)</formula1>
    </dataValidation>
    <dataValidation type="custom" allowBlank="1" showInputMessage="1" showErrorMessage="1" sqref="C45:C58 C230:C238" xr:uid="{00000000-0002-0000-0000-000001000000}">
      <formula1>AND(EXACT(LEFT(C45,4),"1800"),LEN(C45)=8)</formula1>
    </dataValidation>
    <dataValidation type="custom" operator="equal" allowBlank="1" showInputMessage="1" showErrorMessage="1" error="Enter the right staff number" sqref="C115:C130" xr:uid="{00000000-0002-0000-0000-000002000000}">
      <formula1>AND(EXACT(LEFT(C115,4),"1800"),LEN(C115)=8)</formula1>
    </dataValidation>
    <dataValidation type="custom" allowBlank="1" showInputMessage="1" showErrorMessage="1" error="Enter the right staff number" sqref="C184:C193" xr:uid="{00000000-0002-0000-0000-000003000000}">
      <formula1>AND(EXACT(LEFT(C184,4),"1800"),LEN(C184)=8)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00B050"/>
    <pageSetUpPr fitToPage="1"/>
  </sheetPr>
  <dimension ref="A1:CD56"/>
  <sheetViews>
    <sheetView showGridLines="0" tabSelected="1" topLeftCell="A3" zoomScale="70" zoomScaleNormal="70" workbookViewId="0">
      <selection activeCell="C49" sqref="C49"/>
    </sheetView>
  </sheetViews>
  <sheetFormatPr defaultColWidth="9" defaultRowHeight="14.4"/>
  <cols>
    <col min="1" max="1" width="32.88671875" customWidth="1"/>
    <col min="2" max="2" width="14.88671875" customWidth="1"/>
    <col min="3" max="3" width="11.88671875" customWidth="1"/>
    <col min="4" max="4" width="13.33203125" style="1" hidden="1" customWidth="1"/>
    <col min="5" max="5" width="6.109375" customWidth="1"/>
    <col min="6" max="10" width="4.109375" customWidth="1"/>
    <col min="11" max="11" width="4.44140625" customWidth="1"/>
    <col min="12" max="12" width="6.5546875" customWidth="1"/>
    <col min="13" max="13" width="7.44140625" customWidth="1"/>
    <col min="14" max="16" width="7.44140625" hidden="1" customWidth="1"/>
    <col min="17" max="18" width="4.109375" style="1" customWidth="1"/>
    <col min="19" max="25" width="4.109375" customWidth="1"/>
    <col min="26" max="28" width="4.109375" hidden="1" customWidth="1"/>
    <col min="29" max="30" width="4.109375" style="1" customWidth="1"/>
    <col min="31" max="37" width="4.109375" customWidth="1"/>
    <col min="38" max="40" width="4.109375" hidden="1" customWidth="1"/>
    <col min="41" max="42" width="4.109375" style="1" customWidth="1"/>
    <col min="43" max="49" width="4.109375" customWidth="1"/>
    <col min="50" max="52" width="4.109375" hidden="1" customWidth="1"/>
    <col min="53" max="54" width="4.109375" style="1" hidden="1" customWidth="1"/>
    <col min="55" max="59" width="6.44140625" hidden="1" customWidth="1"/>
    <col min="60" max="64" width="4.109375" hidden="1" customWidth="1"/>
    <col min="65" max="66" width="4.109375" style="1" hidden="1" customWidth="1"/>
    <col min="67" max="71" width="6.44140625" style="1" hidden="1" customWidth="1"/>
    <col min="72" max="72" width="5.44140625" style="1" hidden="1" customWidth="1"/>
    <col min="73" max="77" width="4.109375" style="1" hidden="1" customWidth="1"/>
    <col min="78" max="78" width="9.5546875" customWidth="1"/>
    <col min="79" max="79" width="8.88671875" customWidth="1"/>
    <col min="80" max="80" width="17.88671875" customWidth="1"/>
    <col min="81" max="81" width="9.5546875" hidden="1" customWidth="1"/>
    <col min="82" max="82" width="9.109375" hidden="1" customWidth="1"/>
  </cols>
  <sheetData>
    <row r="1" spans="1:82" s="5" customFormat="1" ht="24" customHeight="1">
      <c r="A1" s="48" t="s">
        <v>57</v>
      </c>
      <c r="B1" s="48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50" t="s">
        <v>58</v>
      </c>
      <c r="CA1" s="50" t="s">
        <v>58</v>
      </c>
      <c r="CB1" s="51" t="s">
        <v>59</v>
      </c>
    </row>
    <row r="2" spans="1:82" ht="6.6" customHeight="1">
      <c r="A2" s="35"/>
      <c r="B2" s="35"/>
      <c r="C2" s="35"/>
      <c r="D2" s="35"/>
      <c r="E2" s="35"/>
      <c r="F2" s="35"/>
      <c r="G2" s="35"/>
      <c r="H2" s="35"/>
      <c r="I2" s="49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103"/>
      <c r="CA2" s="103"/>
      <c r="CB2" s="104" t="s">
        <v>60</v>
      </c>
    </row>
    <row r="3" spans="1:82">
      <c r="A3" s="105" t="s">
        <v>61</v>
      </c>
      <c r="B3" s="106" t="s">
        <v>62</v>
      </c>
      <c r="C3" s="106"/>
      <c r="D3" s="106"/>
      <c r="E3" s="106"/>
      <c r="F3" s="35"/>
      <c r="G3" s="107"/>
      <c r="H3" s="35"/>
      <c r="I3" s="108" t="s">
        <v>63</v>
      </c>
      <c r="J3" s="109"/>
      <c r="K3" s="35"/>
      <c r="L3" s="35"/>
      <c r="M3" s="35"/>
      <c r="N3" s="35"/>
      <c r="O3" s="35"/>
      <c r="P3" s="35"/>
      <c r="Q3" s="106"/>
      <c r="R3" s="106" t="s">
        <v>64</v>
      </c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103"/>
      <c r="CA3" s="103"/>
      <c r="CB3" s="107"/>
    </row>
    <row r="4" spans="1:82">
      <c r="A4" s="110" t="s">
        <v>65</v>
      </c>
      <c r="B4" s="35" t="s">
        <v>66</v>
      </c>
      <c r="C4" s="35"/>
      <c r="D4" s="35"/>
      <c r="E4" s="108" t="s">
        <v>67</v>
      </c>
      <c r="F4" s="35"/>
      <c r="G4" s="107"/>
      <c r="H4" s="35" t="s">
        <v>68</v>
      </c>
      <c r="I4" s="108"/>
      <c r="J4" s="108" t="s">
        <v>69</v>
      </c>
      <c r="K4" s="35"/>
      <c r="L4" s="35"/>
      <c r="M4" s="35" t="s">
        <v>55</v>
      </c>
      <c r="N4" s="35"/>
      <c r="O4" s="35"/>
      <c r="P4" s="35"/>
      <c r="Q4" s="108"/>
      <c r="R4" s="108" t="s">
        <v>70</v>
      </c>
      <c r="S4" s="35"/>
      <c r="T4" s="108"/>
      <c r="U4" s="107"/>
      <c r="V4" s="35" t="s">
        <v>71</v>
      </c>
      <c r="W4" s="35"/>
      <c r="X4" s="35"/>
      <c r="Y4" s="35"/>
      <c r="Z4" s="35"/>
      <c r="AA4" s="35"/>
      <c r="AB4" s="35"/>
      <c r="AC4" s="108"/>
      <c r="AD4" s="108"/>
      <c r="AE4" s="132" t="s">
        <v>72</v>
      </c>
      <c r="AF4" s="132"/>
      <c r="AG4" s="132"/>
      <c r="AH4" s="35"/>
      <c r="AI4" s="35"/>
      <c r="AJ4" s="35"/>
      <c r="AK4" s="35"/>
      <c r="AL4" s="35"/>
      <c r="AM4" s="35"/>
      <c r="AN4" s="35"/>
      <c r="AO4" s="108"/>
      <c r="AP4" s="108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108"/>
      <c r="BB4" s="108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108"/>
      <c r="BN4" s="108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103"/>
      <c r="CA4" s="103"/>
      <c r="CB4" s="107"/>
    </row>
    <row r="5" spans="1:82">
      <c r="A5" s="110" t="s">
        <v>73</v>
      </c>
      <c r="B5" s="35" t="s">
        <v>74</v>
      </c>
      <c r="C5" s="35"/>
      <c r="D5" s="35"/>
      <c r="E5" s="108" t="s">
        <v>75</v>
      </c>
      <c r="F5" s="111"/>
      <c r="G5" s="107"/>
      <c r="H5" s="111" t="s">
        <v>76</v>
      </c>
      <c r="I5" s="108"/>
      <c r="J5" s="108" t="s">
        <v>72</v>
      </c>
      <c r="K5" s="111"/>
      <c r="L5" s="111"/>
      <c r="M5" s="111" t="s">
        <v>56</v>
      </c>
      <c r="N5" s="111"/>
      <c r="O5" s="111"/>
      <c r="P5" s="111"/>
      <c r="Q5" s="108"/>
      <c r="R5" s="108" t="s">
        <v>77</v>
      </c>
      <c r="S5" s="111"/>
      <c r="T5" s="108"/>
      <c r="U5" s="107"/>
      <c r="V5" s="111" t="s">
        <v>78</v>
      </c>
      <c r="W5" s="111"/>
      <c r="X5" s="111"/>
      <c r="Y5" s="111"/>
      <c r="Z5" s="111"/>
      <c r="AA5" s="111"/>
      <c r="AB5" s="111"/>
      <c r="AC5" s="108"/>
      <c r="AD5" s="108"/>
      <c r="AE5" s="133"/>
      <c r="AF5" s="133"/>
      <c r="AG5" s="133"/>
      <c r="AH5" s="111"/>
      <c r="AI5" s="111"/>
      <c r="AJ5" s="111"/>
      <c r="AK5" s="111"/>
      <c r="AL5" s="111"/>
      <c r="AM5" s="111"/>
      <c r="AN5" s="111"/>
      <c r="AO5" s="108"/>
      <c r="AP5" s="108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08"/>
      <c r="BB5" s="108"/>
      <c r="BC5" s="35"/>
      <c r="BD5" s="35"/>
      <c r="BE5" s="35"/>
      <c r="BF5" s="35"/>
      <c r="BG5" s="35"/>
      <c r="BH5" s="111"/>
      <c r="BI5" s="111"/>
      <c r="BJ5" s="111"/>
      <c r="BK5" s="111"/>
      <c r="BL5" s="111"/>
      <c r="BM5" s="108"/>
      <c r="BN5" s="108"/>
      <c r="BO5" s="35"/>
      <c r="BP5" s="35"/>
      <c r="BQ5" s="35"/>
      <c r="BR5" s="35"/>
      <c r="BS5" s="35"/>
      <c r="BT5" s="111"/>
      <c r="BU5" s="111"/>
      <c r="BV5" s="111"/>
      <c r="BW5" s="111"/>
      <c r="BX5" s="111"/>
      <c r="BY5" s="111"/>
      <c r="BZ5" s="103"/>
      <c r="CA5" s="103"/>
      <c r="CB5" s="107"/>
    </row>
    <row r="6" spans="1:82">
      <c r="A6" s="110" t="s">
        <v>79</v>
      </c>
      <c r="B6" s="112">
        <v>44408</v>
      </c>
      <c r="C6" s="35"/>
      <c r="D6" s="35"/>
      <c r="E6" s="108" t="s">
        <v>80</v>
      </c>
      <c r="F6" s="111"/>
      <c r="G6" s="107"/>
      <c r="H6" s="35" t="s">
        <v>81</v>
      </c>
      <c r="I6" s="108"/>
      <c r="J6" s="108" t="s">
        <v>82</v>
      </c>
      <c r="K6" s="35"/>
      <c r="L6" s="35"/>
      <c r="M6" s="35" t="s">
        <v>83</v>
      </c>
      <c r="N6" s="35"/>
      <c r="O6" s="35"/>
      <c r="P6" s="35"/>
      <c r="Q6" s="108"/>
      <c r="R6" s="108" t="s">
        <v>84</v>
      </c>
      <c r="S6" s="35"/>
      <c r="T6" s="108"/>
      <c r="U6" s="35"/>
      <c r="V6" s="35" t="s">
        <v>85</v>
      </c>
      <c r="W6" s="35"/>
      <c r="X6" s="35"/>
      <c r="Y6" s="35"/>
      <c r="Z6" s="35"/>
      <c r="AA6" s="35"/>
      <c r="AB6" s="35"/>
      <c r="AC6" s="108"/>
      <c r="AD6" s="108"/>
      <c r="AE6" s="133"/>
      <c r="AF6" s="133"/>
      <c r="AG6" s="133"/>
      <c r="AH6" s="35"/>
      <c r="AI6" s="35"/>
      <c r="AJ6" s="35"/>
      <c r="AK6" s="35"/>
      <c r="AL6" s="35"/>
      <c r="AM6" s="35"/>
      <c r="AN6" s="35"/>
      <c r="AO6" s="108"/>
      <c r="AP6" s="108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108"/>
      <c r="BB6" s="108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108"/>
      <c r="BN6" s="108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103"/>
      <c r="CA6" s="103"/>
      <c r="CB6" s="107"/>
    </row>
    <row r="7" spans="1:82">
      <c r="A7" s="110"/>
      <c r="B7" s="113" t="s">
        <v>86</v>
      </c>
      <c r="C7" s="114">
        <f>MOD(MATCH(B7,{"Sunday";"Monday";"Tuesday";"Wednesday";"Thursday";"Friday";"Saturday"},0),7)+1</f>
        <v>7</v>
      </c>
      <c r="D7" s="114"/>
      <c r="E7" s="108" t="s">
        <v>327</v>
      </c>
      <c r="F7" s="35"/>
      <c r="G7" s="107"/>
      <c r="H7" s="35" t="s">
        <v>328</v>
      </c>
      <c r="I7" s="108"/>
      <c r="J7" s="108" t="s">
        <v>88</v>
      </c>
      <c r="K7" s="35"/>
      <c r="L7" s="35"/>
      <c r="M7" s="35" t="s">
        <v>89</v>
      </c>
      <c r="N7" s="35"/>
      <c r="O7" s="35"/>
      <c r="P7" s="35"/>
      <c r="Q7" s="108"/>
      <c r="R7" s="108" t="s">
        <v>341</v>
      </c>
      <c r="S7" s="35"/>
      <c r="T7" s="108"/>
      <c r="U7" s="35"/>
      <c r="V7" s="35" t="s">
        <v>342</v>
      </c>
      <c r="W7" s="35"/>
      <c r="X7" s="35"/>
      <c r="Y7" s="35"/>
      <c r="Z7" s="35"/>
      <c r="AA7" s="35"/>
      <c r="AB7" s="35"/>
      <c r="AC7" s="108"/>
      <c r="AD7" s="108"/>
      <c r="AE7" s="133"/>
      <c r="AF7" s="134"/>
      <c r="AG7" s="134"/>
      <c r="AH7" s="35"/>
      <c r="AI7" s="35"/>
      <c r="AJ7" s="35" t="s">
        <v>329</v>
      </c>
      <c r="AK7" s="35"/>
      <c r="AL7" s="35"/>
      <c r="AM7" s="35"/>
      <c r="AN7" s="35"/>
      <c r="AO7" s="129">
        <v>1000000</v>
      </c>
      <c r="AP7" s="130"/>
      <c r="AQ7" s="130"/>
      <c r="AR7" s="131"/>
      <c r="AS7" s="35"/>
      <c r="AT7" s="35"/>
      <c r="AU7" s="35"/>
      <c r="AV7" s="35"/>
      <c r="AW7" s="35"/>
      <c r="AX7" s="35"/>
      <c r="AY7" s="35"/>
      <c r="AZ7" s="35"/>
      <c r="BA7" s="108"/>
      <c r="BB7" s="108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108"/>
      <c r="BN7" s="108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107"/>
      <c r="CA7" s="107"/>
      <c r="CB7" s="107"/>
    </row>
    <row r="8" spans="1:82" s="1" customFormat="1">
      <c r="A8" s="110"/>
      <c r="B8" s="35"/>
      <c r="C8" s="114"/>
      <c r="D8" s="114"/>
      <c r="E8" s="108"/>
      <c r="F8" s="35"/>
      <c r="G8" s="107"/>
      <c r="H8" s="35"/>
      <c r="I8" s="108"/>
      <c r="J8" s="108"/>
      <c r="K8" s="35"/>
      <c r="L8" s="35"/>
      <c r="M8" s="35"/>
      <c r="N8" s="35"/>
      <c r="O8" s="35"/>
      <c r="P8" s="35"/>
      <c r="Q8" s="108"/>
      <c r="R8" s="108"/>
      <c r="S8" s="35"/>
      <c r="T8" s="108"/>
      <c r="U8" s="35"/>
      <c r="V8" s="35"/>
      <c r="W8" s="35"/>
      <c r="X8" s="35"/>
      <c r="Y8" s="35"/>
      <c r="Z8" s="35"/>
      <c r="AA8" s="35"/>
      <c r="AB8" s="35"/>
      <c r="AC8" s="108"/>
      <c r="AD8" s="108"/>
      <c r="AE8" s="133"/>
      <c r="AF8" s="134"/>
      <c r="AG8" s="134"/>
      <c r="AH8" s="35"/>
      <c r="AI8" s="35"/>
      <c r="AJ8" s="35" t="s">
        <v>330</v>
      </c>
      <c r="AK8" s="35"/>
      <c r="AL8" s="35"/>
      <c r="AM8" s="35"/>
      <c r="AN8" s="35"/>
      <c r="AO8" s="129">
        <f>CB45</f>
        <v>905353.4232908655</v>
      </c>
      <c r="AP8" s="130"/>
      <c r="AQ8" s="130"/>
      <c r="AR8" s="131"/>
      <c r="AS8" s="35"/>
      <c r="AT8" s="35"/>
      <c r="AU8" s="35"/>
      <c r="AV8" s="35"/>
      <c r="AW8" s="35"/>
      <c r="AX8" s="35"/>
      <c r="AY8" s="35"/>
      <c r="AZ8" s="35"/>
      <c r="BA8" s="108"/>
      <c r="BB8" s="108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108"/>
      <c r="BN8" s="108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107"/>
      <c r="CA8" s="107"/>
      <c r="CB8" s="107"/>
    </row>
    <row r="9" spans="1:82" ht="15.75" customHeight="1">
      <c r="A9" s="110" t="s">
        <v>90</v>
      </c>
      <c r="B9" s="35"/>
      <c r="C9" s="115"/>
      <c r="D9" s="115"/>
      <c r="E9" s="116">
        <f t="shared" ref="E9:K9" si="0">IFERROR(COUNTIF(LINE8_PH,E11),0)</f>
        <v>0</v>
      </c>
      <c r="F9" s="116">
        <f t="shared" si="0"/>
        <v>0</v>
      </c>
      <c r="G9" s="116">
        <f t="shared" si="0"/>
        <v>0</v>
      </c>
      <c r="H9" s="116">
        <f t="shared" si="0"/>
        <v>0</v>
      </c>
      <c r="I9" s="116">
        <f t="shared" si="0"/>
        <v>0</v>
      </c>
      <c r="J9" s="116">
        <f t="shared" si="0"/>
        <v>0</v>
      </c>
      <c r="K9" s="116">
        <f t="shared" si="0"/>
        <v>0</v>
      </c>
      <c r="L9" s="116">
        <f>SUM(G9:K9)</f>
        <v>0</v>
      </c>
      <c r="M9" s="117">
        <f t="shared" ref="M9:BZ9" si="1">COUNTIF(LINE8_PH,M11)</f>
        <v>0</v>
      </c>
      <c r="N9" s="117"/>
      <c r="O9" s="117"/>
      <c r="P9" s="117"/>
      <c r="Q9" s="116">
        <f t="shared" ref="Q9:W9" si="2">IFERROR(COUNTIF(LINE8_PH,Q11),0)</f>
        <v>0</v>
      </c>
      <c r="R9" s="116">
        <f t="shared" si="2"/>
        <v>0</v>
      </c>
      <c r="S9" s="116">
        <f t="shared" si="2"/>
        <v>0</v>
      </c>
      <c r="T9" s="116">
        <f t="shared" si="2"/>
        <v>0</v>
      </c>
      <c r="U9" s="116">
        <f t="shared" si="2"/>
        <v>0</v>
      </c>
      <c r="V9" s="116">
        <f t="shared" si="2"/>
        <v>0</v>
      </c>
      <c r="W9" s="116">
        <f t="shared" si="2"/>
        <v>0</v>
      </c>
      <c r="X9" s="116">
        <f>SUM(S9:W9)</f>
        <v>0</v>
      </c>
      <c r="Y9" s="117">
        <f t="shared" si="1"/>
        <v>0</v>
      </c>
      <c r="Z9" s="117"/>
      <c r="AA9" s="117"/>
      <c r="AB9" s="117"/>
      <c r="AC9" s="116">
        <f t="shared" ref="AC9:AI9" si="3">IFERROR(COUNTIF(LINE8_PH,AC11),0)</f>
        <v>0</v>
      </c>
      <c r="AD9" s="116">
        <f t="shared" si="3"/>
        <v>0</v>
      </c>
      <c r="AE9" s="116">
        <f t="shared" si="3"/>
        <v>0</v>
      </c>
      <c r="AF9" s="116">
        <f t="shared" si="3"/>
        <v>0</v>
      </c>
      <c r="AG9" s="116">
        <f t="shared" si="3"/>
        <v>0</v>
      </c>
      <c r="AH9" s="116">
        <f t="shared" si="3"/>
        <v>0</v>
      </c>
      <c r="AI9" s="116">
        <f t="shared" si="3"/>
        <v>0</v>
      </c>
      <c r="AJ9" s="116">
        <f>SUM(AE9:AI9)</f>
        <v>0</v>
      </c>
      <c r="AK9" s="117">
        <f t="shared" si="1"/>
        <v>0</v>
      </c>
      <c r="AL9" s="117"/>
      <c r="AM9" s="117"/>
      <c r="AN9" s="117"/>
      <c r="AO9" s="116">
        <f t="shared" ref="AO9:AU9" si="4">IFERROR(COUNTIF(LINE8_PH,AO11),0)</f>
        <v>0</v>
      </c>
      <c r="AP9" s="116">
        <f t="shared" si="4"/>
        <v>0</v>
      </c>
      <c r="AQ9" s="116">
        <f t="shared" si="4"/>
        <v>0</v>
      </c>
      <c r="AR9" s="116">
        <f t="shared" si="4"/>
        <v>0</v>
      </c>
      <c r="AS9" s="116">
        <f t="shared" si="4"/>
        <v>0</v>
      </c>
      <c r="AT9" s="116">
        <f t="shared" si="4"/>
        <v>0</v>
      </c>
      <c r="AU9" s="116">
        <f t="shared" si="4"/>
        <v>0</v>
      </c>
      <c r="AV9" s="116">
        <f>SUM(AQ9:AU9)</f>
        <v>0</v>
      </c>
      <c r="AW9" s="117">
        <f t="shared" si="1"/>
        <v>0</v>
      </c>
      <c r="AX9" s="117"/>
      <c r="AY9" s="117"/>
      <c r="AZ9" s="117"/>
      <c r="BA9" s="116">
        <f t="shared" ref="BA9:BG9" si="5">IFERROR(COUNTIF(LINE8_PH,BA11),0)</f>
        <v>0</v>
      </c>
      <c r="BB9" s="116">
        <f t="shared" si="5"/>
        <v>0</v>
      </c>
      <c r="BC9" s="116">
        <f t="shared" si="5"/>
        <v>0</v>
      </c>
      <c r="BD9" s="116">
        <f t="shared" si="5"/>
        <v>0</v>
      </c>
      <c r="BE9" s="116">
        <f t="shared" si="5"/>
        <v>0</v>
      </c>
      <c r="BF9" s="116">
        <f t="shared" si="5"/>
        <v>0</v>
      </c>
      <c r="BG9" s="116">
        <f t="shared" si="5"/>
        <v>0</v>
      </c>
      <c r="BH9" s="116">
        <f>SUM(BC9:BG9)</f>
        <v>0</v>
      </c>
      <c r="BI9" s="117">
        <f t="shared" si="1"/>
        <v>0</v>
      </c>
      <c r="BJ9" s="117"/>
      <c r="BK9" s="117"/>
      <c r="BL9" s="117"/>
      <c r="BM9" s="116">
        <f t="shared" ref="BM9:BS9" si="6">IFERROR(COUNTIF(LINE8_PH,BM11),0)</f>
        <v>0</v>
      </c>
      <c r="BN9" s="116">
        <f t="shared" si="6"/>
        <v>0</v>
      </c>
      <c r="BO9" s="116">
        <f t="shared" si="6"/>
        <v>0</v>
      </c>
      <c r="BP9" s="116">
        <f t="shared" si="6"/>
        <v>0</v>
      </c>
      <c r="BQ9" s="116">
        <f t="shared" si="6"/>
        <v>0</v>
      </c>
      <c r="BR9" s="116">
        <f t="shared" si="6"/>
        <v>0</v>
      </c>
      <c r="BS9" s="116">
        <f t="shared" si="6"/>
        <v>0</v>
      </c>
      <c r="BT9" s="116">
        <f>SUM(BO9:BS9)</f>
        <v>0</v>
      </c>
      <c r="BU9" s="117">
        <f t="shared" ref="BU9" si="7">COUNTIF(LINE8_PH,BU11)</f>
        <v>0</v>
      </c>
      <c r="BV9" s="117"/>
      <c r="BW9" s="117"/>
      <c r="BX9" s="117"/>
      <c r="BY9" s="117"/>
      <c r="BZ9" s="117">
        <f t="shared" si="1"/>
        <v>0</v>
      </c>
      <c r="CA9" s="35"/>
      <c r="CB9" s="107"/>
    </row>
    <row r="10" spans="1:82">
      <c r="A10" s="118"/>
      <c r="B10" s="118"/>
      <c r="C10" s="118"/>
      <c r="D10" s="118"/>
      <c r="E10" s="119" t="str">
        <f>IF(OR(C11="",MONTH(E11)&lt;&gt;MONTH(C11)),TEXT(E11,"mmm"),"")</f>
        <v>Jul</v>
      </c>
      <c r="F10" s="119" t="str">
        <f t="shared" ref="F10:AU10" si="8">IF(OR(E11="",MONTH(F11)&lt;&gt;MONTH(E11)),TEXT(F11,"mmm"),"")</f>
        <v>Aug</v>
      </c>
      <c r="G10" s="119" t="str">
        <f t="shared" si="8"/>
        <v/>
      </c>
      <c r="H10" s="119" t="str">
        <f t="shared" si="8"/>
        <v/>
      </c>
      <c r="I10" s="119" t="str">
        <f t="shared" si="8"/>
        <v/>
      </c>
      <c r="J10" s="119" t="str">
        <f t="shared" si="8"/>
        <v/>
      </c>
      <c r="K10" s="119" t="str">
        <f t="shared" si="8"/>
        <v/>
      </c>
      <c r="L10" s="119"/>
      <c r="M10" s="119"/>
      <c r="N10" s="119"/>
      <c r="O10" s="119"/>
      <c r="P10" s="119"/>
      <c r="Q10" s="119" t="str">
        <f>IF(OR(K11="",MONTH(Q11)&lt;&gt;MONTH(K11)),TEXT(Q11,"mmm"),"")</f>
        <v/>
      </c>
      <c r="R10" s="119" t="str">
        <f t="shared" si="8"/>
        <v/>
      </c>
      <c r="S10" s="119" t="str">
        <f t="shared" si="8"/>
        <v/>
      </c>
      <c r="T10" s="119" t="str">
        <f t="shared" si="8"/>
        <v/>
      </c>
      <c r="U10" s="119" t="str">
        <f t="shared" si="8"/>
        <v/>
      </c>
      <c r="V10" s="119" t="str">
        <f t="shared" si="8"/>
        <v/>
      </c>
      <c r="W10" s="119" t="str">
        <f t="shared" si="8"/>
        <v/>
      </c>
      <c r="X10" s="119"/>
      <c r="Y10" s="119"/>
      <c r="Z10" s="119"/>
      <c r="AA10" s="119"/>
      <c r="AB10" s="119"/>
      <c r="AC10" s="119" t="str">
        <f>IF(OR(W11="",MONTH(AC11)&lt;&gt;MONTH(W11)),TEXT(AC11,"mmm"),"")</f>
        <v/>
      </c>
      <c r="AD10" s="119" t="str">
        <f t="shared" si="8"/>
        <v/>
      </c>
      <c r="AE10" s="119" t="str">
        <f t="shared" si="8"/>
        <v/>
      </c>
      <c r="AF10" s="119" t="str">
        <f t="shared" si="8"/>
        <v/>
      </c>
      <c r="AG10" s="119" t="str">
        <f t="shared" si="8"/>
        <v/>
      </c>
      <c r="AH10" s="119" t="str">
        <f t="shared" si="8"/>
        <v/>
      </c>
      <c r="AI10" s="119" t="str">
        <f t="shared" si="8"/>
        <v/>
      </c>
      <c r="AJ10" s="119"/>
      <c r="AK10" s="119"/>
      <c r="AL10" s="119"/>
      <c r="AM10" s="119"/>
      <c r="AN10" s="119"/>
      <c r="AO10" s="119" t="str">
        <f>IF(OR(AI11="",MONTH(AO11)&lt;&gt;MONTH(AI11)),TEXT(AO11,"mmm"),"")</f>
        <v/>
      </c>
      <c r="AP10" s="119" t="str">
        <f t="shared" si="8"/>
        <v/>
      </c>
      <c r="AQ10" s="119" t="str">
        <f t="shared" si="8"/>
        <v/>
      </c>
      <c r="AR10" s="119" t="str">
        <f t="shared" si="8"/>
        <v/>
      </c>
      <c r="AS10" s="119" t="str">
        <f t="shared" si="8"/>
        <v/>
      </c>
      <c r="AT10" s="119" t="str">
        <f t="shared" si="8"/>
        <v/>
      </c>
      <c r="AU10" s="119" t="str">
        <f t="shared" si="8"/>
        <v/>
      </c>
      <c r="AV10" s="119"/>
      <c r="AW10" s="119"/>
      <c r="AX10" s="119"/>
      <c r="AY10" s="119"/>
      <c r="AZ10" s="119"/>
      <c r="BA10" s="119" t="str">
        <f>IF(OR(AU11="",MONTH(BA11)&lt;&gt;MONTH(AU11)),TEXT(BA11,"mmm"),"")</f>
        <v/>
      </c>
      <c r="BB10" s="119"/>
      <c r="BC10" s="119"/>
      <c r="BD10" s="119"/>
      <c r="BE10" s="119"/>
      <c r="BF10" s="119"/>
      <c r="BG10" s="119"/>
      <c r="BH10" s="119"/>
      <c r="BI10" s="119"/>
      <c r="BJ10" s="119"/>
      <c r="BK10" s="119"/>
      <c r="BL10" s="119"/>
      <c r="BM10" s="119" t="str">
        <f>IF(OR(BG11="",MONTH(BM11)&lt;&gt;MONTH(BG11)),TEXT(BM11,"mmm"),"")</f>
        <v/>
      </c>
      <c r="BN10" s="119"/>
      <c r="BO10" s="119"/>
      <c r="BP10" s="119"/>
      <c r="BQ10" s="119"/>
      <c r="BR10" s="119"/>
      <c r="BS10" s="119"/>
      <c r="BT10" s="119"/>
      <c r="BU10" s="119"/>
      <c r="BV10" s="119"/>
      <c r="BW10" s="119"/>
      <c r="BX10" s="119"/>
      <c r="BY10" s="119"/>
      <c r="BZ10" s="120"/>
      <c r="CA10" s="118"/>
      <c r="CB10" s="107"/>
    </row>
    <row r="11" spans="1:82">
      <c r="A11" s="118"/>
      <c r="B11" s="118"/>
      <c r="C11" s="118"/>
      <c r="D11" s="118"/>
      <c r="E11" s="121">
        <f>B6</f>
        <v>44408</v>
      </c>
      <c r="F11" s="121">
        <f>E11+1</f>
        <v>44409</v>
      </c>
      <c r="G11" s="121">
        <f t="shared" ref="G11:BG11" si="9">F11+1</f>
        <v>44410</v>
      </c>
      <c r="H11" s="121">
        <f t="shared" si="9"/>
        <v>44411</v>
      </c>
      <c r="I11" s="121">
        <f t="shared" si="9"/>
        <v>44412</v>
      </c>
      <c r="J11" s="121">
        <f t="shared" si="9"/>
        <v>44413</v>
      </c>
      <c r="K11" s="121">
        <f t="shared" si="9"/>
        <v>44414</v>
      </c>
      <c r="L11" s="121"/>
      <c r="M11" s="121"/>
      <c r="N11" s="121"/>
      <c r="O11" s="121"/>
      <c r="P11" s="121"/>
      <c r="Q11" s="121">
        <f>K11+1</f>
        <v>44415</v>
      </c>
      <c r="R11" s="121">
        <f t="shared" si="9"/>
        <v>44416</v>
      </c>
      <c r="S11" s="121">
        <f t="shared" si="9"/>
        <v>44417</v>
      </c>
      <c r="T11" s="121">
        <f t="shared" si="9"/>
        <v>44418</v>
      </c>
      <c r="U11" s="121">
        <f t="shared" si="9"/>
        <v>44419</v>
      </c>
      <c r="V11" s="121">
        <f t="shared" si="9"/>
        <v>44420</v>
      </c>
      <c r="W11" s="121">
        <f t="shared" si="9"/>
        <v>44421</v>
      </c>
      <c r="X11" s="121"/>
      <c r="Y11" s="121"/>
      <c r="Z11" s="121"/>
      <c r="AA11" s="121"/>
      <c r="AB11" s="121"/>
      <c r="AC11" s="121">
        <f>W11+1</f>
        <v>44422</v>
      </c>
      <c r="AD11" s="121">
        <f t="shared" si="9"/>
        <v>44423</v>
      </c>
      <c r="AE11" s="121">
        <f t="shared" si="9"/>
        <v>44424</v>
      </c>
      <c r="AF11" s="121">
        <f t="shared" si="9"/>
        <v>44425</v>
      </c>
      <c r="AG11" s="121">
        <f t="shared" si="9"/>
        <v>44426</v>
      </c>
      <c r="AH11" s="121">
        <f t="shared" si="9"/>
        <v>44427</v>
      </c>
      <c r="AI11" s="121">
        <f t="shared" si="9"/>
        <v>44428</v>
      </c>
      <c r="AJ11" s="121"/>
      <c r="AK11" s="121"/>
      <c r="AL11" s="121"/>
      <c r="AM11" s="121"/>
      <c r="AN11" s="121"/>
      <c r="AO11" s="121">
        <f>AI11+1</f>
        <v>44429</v>
      </c>
      <c r="AP11" s="121">
        <f t="shared" si="9"/>
        <v>44430</v>
      </c>
      <c r="AQ11" s="121">
        <f t="shared" si="9"/>
        <v>44431</v>
      </c>
      <c r="AR11" s="121">
        <f t="shared" si="9"/>
        <v>44432</v>
      </c>
      <c r="AS11" s="121">
        <f t="shared" si="9"/>
        <v>44433</v>
      </c>
      <c r="AT11" s="121">
        <f t="shared" si="9"/>
        <v>44434</v>
      </c>
      <c r="AU11" s="121">
        <f t="shared" si="9"/>
        <v>44435</v>
      </c>
      <c r="AV11" s="121"/>
      <c r="AW11" s="121"/>
      <c r="AX11" s="121"/>
      <c r="AY11" s="121"/>
      <c r="AZ11" s="121"/>
      <c r="BA11" s="121">
        <f>AU11+1</f>
        <v>44436</v>
      </c>
      <c r="BB11" s="121">
        <f t="shared" si="9"/>
        <v>44437</v>
      </c>
      <c r="BC11" s="121">
        <f t="shared" si="9"/>
        <v>44438</v>
      </c>
      <c r="BD11" s="121">
        <f t="shared" si="9"/>
        <v>44439</v>
      </c>
      <c r="BE11" s="121">
        <f t="shared" si="9"/>
        <v>44440</v>
      </c>
      <c r="BF11" s="121">
        <f t="shared" si="9"/>
        <v>44441</v>
      </c>
      <c r="BG11" s="121">
        <f t="shared" si="9"/>
        <v>44442</v>
      </c>
      <c r="BH11" s="121"/>
      <c r="BI11" s="121"/>
      <c r="BJ11" s="121"/>
      <c r="BK11" s="121"/>
      <c r="BL11" s="121"/>
      <c r="BM11" s="121">
        <f>BG11+1</f>
        <v>44443</v>
      </c>
      <c r="BN11" s="121">
        <f t="shared" ref="BN11" si="10">BM11+1</f>
        <v>44444</v>
      </c>
      <c r="BO11" s="121">
        <f t="shared" ref="BO11" si="11">BN11+1</f>
        <v>44445</v>
      </c>
      <c r="BP11" s="121">
        <f t="shared" ref="BP11" si="12">BO11+1</f>
        <v>44446</v>
      </c>
      <c r="BQ11" s="121">
        <f t="shared" ref="BQ11" si="13">BP11+1</f>
        <v>44447</v>
      </c>
      <c r="BR11" s="121">
        <f t="shared" ref="BR11" si="14">BQ11+1</f>
        <v>44448</v>
      </c>
      <c r="BS11" s="121">
        <f t="shared" ref="BS11" si="15">BR11+1</f>
        <v>44449</v>
      </c>
      <c r="BT11" s="121"/>
      <c r="BU11" s="121"/>
      <c r="BV11" s="121"/>
      <c r="BW11" s="121"/>
      <c r="BX11" s="121"/>
      <c r="BY11" s="121"/>
      <c r="BZ11" s="120"/>
      <c r="CA11" s="118"/>
      <c r="CB11" s="107"/>
    </row>
    <row r="12" spans="1:82" s="7" customFormat="1" ht="27.75" customHeight="1">
      <c r="A12" s="122" t="s">
        <v>0</v>
      </c>
      <c r="B12" s="122" t="s">
        <v>1</v>
      </c>
      <c r="C12" s="122" t="s">
        <v>2</v>
      </c>
      <c r="D12" s="122" t="s">
        <v>129</v>
      </c>
      <c r="E12" s="123" t="str">
        <f>CHOOSE(WEEKDAY(E11,1),"Su","M","Tu","W","Th","F","Sa")</f>
        <v>Sa</v>
      </c>
      <c r="F12" s="124" t="str">
        <f>CHOOSE(WEEKDAY(F11,1),"Su","M","Tu","W","Th","F","Sa")</f>
        <v>Su</v>
      </c>
      <c r="G12" s="124" t="str">
        <f t="shared" ref="G12:K12" si="16">CHOOSE(WEEKDAY(G11,1),"Su","M","Tu","W","Th","F","Sa")</f>
        <v>M</v>
      </c>
      <c r="H12" s="124" t="str">
        <f t="shared" si="16"/>
        <v>Tu</v>
      </c>
      <c r="I12" s="124" t="str">
        <f t="shared" si="16"/>
        <v>W</v>
      </c>
      <c r="J12" s="124" t="str">
        <f t="shared" si="16"/>
        <v>Th</v>
      </c>
      <c r="K12" s="125" t="str">
        <f t="shared" si="16"/>
        <v>F</v>
      </c>
      <c r="L12" s="124" t="s">
        <v>55</v>
      </c>
      <c r="M12" s="124" t="s">
        <v>56</v>
      </c>
      <c r="N12" s="124"/>
      <c r="O12" s="124"/>
      <c r="P12" s="124"/>
      <c r="Q12" s="123" t="str">
        <f>CHOOSE(WEEKDAY(Q11,1),"Su","M","Tu","W","Th","F","Sa")</f>
        <v>Sa</v>
      </c>
      <c r="R12" s="123" t="str">
        <f t="shared" ref="R12:W12" si="17">CHOOSE(WEEKDAY(R11,1),"Su","M","Tu","W","Th","F","Sa")</f>
        <v>Su</v>
      </c>
      <c r="S12" s="124" t="str">
        <f t="shared" si="17"/>
        <v>M</v>
      </c>
      <c r="T12" s="124" t="str">
        <f t="shared" si="17"/>
        <v>Tu</v>
      </c>
      <c r="U12" s="124" t="str">
        <f t="shared" si="17"/>
        <v>W</v>
      </c>
      <c r="V12" s="124" t="str">
        <f t="shared" si="17"/>
        <v>Th</v>
      </c>
      <c r="W12" s="125" t="str">
        <f t="shared" si="17"/>
        <v>F</v>
      </c>
      <c r="X12" s="124" t="s">
        <v>55</v>
      </c>
      <c r="Y12" s="124" t="s">
        <v>56</v>
      </c>
      <c r="Z12" s="124"/>
      <c r="AA12" s="124"/>
      <c r="AB12" s="124"/>
      <c r="AC12" s="123" t="str">
        <f>CHOOSE(WEEKDAY(AC11,1),"Su","M","Tu","W","Th","F","Sa")</f>
        <v>Sa</v>
      </c>
      <c r="AD12" s="123" t="str">
        <f t="shared" ref="AD12:AI12" si="18">CHOOSE(WEEKDAY(AD11,1),"Su","M","Tu","W","Th","F","Sa")</f>
        <v>Su</v>
      </c>
      <c r="AE12" s="124" t="str">
        <f t="shared" si="18"/>
        <v>M</v>
      </c>
      <c r="AF12" s="124" t="str">
        <f t="shared" si="18"/>
        <v>Tu</v>
      </c>
      <c r="AG12" s="124" t="str">
        <f t="shared" si="18"/>
        <v>W</v>
      </c>
      <c r="AH12" s="124" t="str">
        <f t="shared" si="18"/>
        <v>Th</v>
      </c>
      <c r="AI12" s="125" t="str">
        <f t="shared" si="18"/>
        <v>F</v>
      </c>
      <c r="AJ12" s="124" t="s">
        <v>55</v>
      </c>
      <c r="AK12" s="124" t="s">
        <v>56</v>
      </c>
      <c r="AL12" s="124"/>
      <c r="AM12" s="124"/>
      <c r="AN12" s="124"/>
      <c r="AO12" s="123" t="str">
        <f>CHOOSE(WEEKDAY(AO11,1),"Su","M","Tu","W","Th","F","Sa")</f>
        <v>Sa</v>
      </c>
      <c r="AP12" s="123" t="str">
        <f t="shared" ref="AP12:BG12" si="19">CHOOSE(WEEKDAY(AP11,1),"Su","M","Tu","W","Th","F","Sa")</f>
        <v>Su</v>
      </c>
      <c r="AQ12" s="124" t="str">
        <f t="shared" si="19"/>
        <v>M</v>
      </c>
      <c r="AR12" s="124" t="str">
        <f t="shared" si="19"/>
        <v>Tu</v>
      </c>
      <c r="AS12" s="124" t="str">
        <f t="shared" si="19"/>
        <v>W</v>
      </c>
      <c r="AT12" s="124" t="str">
        <f t="shared" si="19"/>
        <v>Th</v>
      </c>
      <c r="AU12" s="125" t="str">
        <f t="shared" si="19"/>
        <v>F</v>
      </c>
      <c r="AV12" s="124" t="s">
        <v>55</v>
      </c>
      <c r="AW12" s="124" t="s">
        <v>56</v>
      </c>
      <c r="AX12" s="124"/>
      <c r="AY12" s="124"/>
      <c r="AZ12" s="124"/>
      <c r="BA12" s="123" t="str">
        <f t="shared" si="19"/>
        <v>Sa</v>
      </c>
      <c r="BB12" s="123" t="str">
        <f t="shared" si="19"/>
        <v>Su</v>
      </c>
      <c r="BC12" s="124" t="str">
        <f t="shared" si="19"/>
        <v>M</v>
      </c>
      <c r="BD12" s="125" t="str">
        <f t="shared" si="19"/>
        <v>Tu</v>
      </c>
      <c r="BE12" s="125" t="str">
        <f t="shared" si="19"/>
        <v>W</v>
      </c>
      <c r="BF12" s="125" t="str">
        <f t="shared" si="19"/>
        <v>Th</v>
      </c>
      <c r="BG12" s="125" t="str">
        <f t="shared" si="19"/>
        <v>F</v>
      </c>
      <c r="BH12" s="124" t="s">
        <v>55</v>
      </c>
      <c r="BI12" s="124" t="s">
        <v>56</v>
      </c>
      <c r="BJ12" s="124"/>
      <c r="BK12" s="124"/>
      <c r="BL12" s="124"/>
      <c r="BM12" s="123" t="str">
        <f t="shared" ref="BM12:BS12" si="20">CHOOSE(WEEKDAY(BM11,1),"Su","M","Tu","W","Th","F","Sa")</f>
        <v>Sa</v>
      </c>
      <c r="BN12" s="123" t="str">
        <f t="shared" si="20"/>
        <v>Su</v>
      </c>
      <c r="BO12" s="124" t="str">
        <f t="shared" si="20"/>
        <v>M</v>
      </c>
      <c r="BP12" s="125" t="str">
        <f t="shared" si="20"/>
        <v>Tu</v>
      </c>
      <c r="BQ12" s="125" t="str">
        <f t="shared" si="20"/>
        <v>W</v>
      </c>
      <c r="BR12" s="125" t="str">
        <f t="shared" si="20"/>
        <v>Th</v>
      </c>
      <c r="BS12" s="125" t="str">
        <f t="shared" si="20"/>
        <v>F</v>
      </c>
      <c r="BT12" s="124" t="s">
        <v>55</v>
      </c>
      <c r="BU12" s="124" t="s">
        <v>56</v>
      </c>
      <c r="BV12" s="124"/>
      <c r="BW12" s="124"/>
      <c r="BX12" s="124"/>
      <c r="BY12" s="124"/>
      <c r="BZ12" s="126" t="s">
        <v>91</v>
      </c>
      <c r="CA12" s="127" t="s">
        <v>92</v>
      </c>
      <c r="CB12" s="128" t="s">
        <v>128</v>
      </c>
      <c r="CC12" s="8" t="s">
        <v>126</v>
      </c>
      <c r="CD12" s="9" t="s">
        <v>127</v>
      </c>
    </row>
    <row r="13" spans="1:82" s="1" customFormat="1" ht="16.5" customHeight="1">
      <c r="A13" s="53"/>
      <c r="B13" s="54">
        <v>3</v>
      </c>
      <c r="C13" s="55">
        <v>18004071</v>
      </c>
      <c r="D13" s="96">
        <f>IF(C13="",0,VLOOKUP(C13,Conf!A:D,4,FALSE))</f>
        <v>160861.7475</v>
      </c>
      <c r="E13" s="56">
        <v>7</v>
      </c>
      <c r="F13" s="56">
        <v>7</v>
      </c>
      <c r="G13" s="56">
        <v>10</v>
      </c>
      <c r="H13" s="56">
        <v>10</v>
      </c>
      <c r="I13" s="56">
        <v>0</v>
      </c>
      <c r="J13" s="56">
        <v>0</v>
      </c>
      <c r="K13" s="56">
        <v>7</v>
      </c>
      <c r="L13" s="33">
        <f>IF(AND(O13&lt;0,N13&gt;0),0,(IF(AND(P13&lt;0,BY13&gt;1),0,IF(AND(E13="",F13="",G13="",H13="",I13="",J13="",K13=""),0,IF(AND(E13="",F13="",G13="",H13="",I13="",J13="",K13=""),0,SUM(E13:K13)-40-M13)+(COUNTIF(G13:K13,"v")*8)+(COUNTIF(G13:K13,"sl")*8)+(COUNTIF(G13:K13,"ml")*8)+(COUNTIF(G13:K13,"t")*8)+(COUNTIF(G13:K13,"cl")*8)+(COUNTIF(G13:K13,"el")*8)+(COUNTIF(G13:K13,"cal")*8)+(COUNTIF(G13:K13,"E")*8)+($L$9*8))+IF($G$9=1,IF(OR(G13="sl",G13="v",G13="ml",G13="e",G13="t",G13="cl",G13="cal"),-8,0))+IF($H$9=1,IF(OR(H13="sl",H13="v",H13="ml",H13="e",H13="t",H13="cl",H13="cal"),-8,0))+IF($I$9=1,IF(OR(I13="sl",I13="v",I13="ml",I13="e",I13="t",I13="cl",I13="cal"),-8,0))+IF($J$9=1,IF(OR(J13="sl",J13="v",J13="ml",J13="e",J13="t",J13="cl",J13="cal"),-8,0))+IF($K$9=1,IF(OR(K13="sl",K13="v",K13="ml",K13="e",K13="t",K13="cl",K13="cal"),-8,0)))))</f>
        <v>1</v>
      </c>
      <c r="M13" s="33">
        <f t="shared" ref="M13" si="21">SUMIF(E$9:K$9,1,E13:K13)</f>
        <v>0</v>
      </c>
      <c r="N13" s="100">
        <f>COUNTIF(E13:F13,14)+IF(AND($G$9=0,G13=14),1,0)+IF(AND($H$9=0,H13=14),1,0)+IF(AND($I$9=0,I13=14),1,0)+IF(AND($J$9=0,J13=14),1,0)+IF(AND($K$9=0,K13=14),1,0)</f>
        <v>0</v>
      </c>
      <c r="O13" s="99">
        <f>IF(AND(P13&lt;0,BY13&gt;1),0,IF(AND(E13="",F13="",G13="",H13="",I13="",J13="",K13=""),0,IF(AND(E13="",F13="",G13="",H13="",I13="",J13="",K13=""),0,SUM(E13:K13)-40-M13)+(COUNTIF(G13:K13,"v")*8)+(COUNTIF(G13:K13,"sl")*8)+(COUNTIF(G13:K13,"ml")*8)+(COUNTIF(G13:K13,"t")*8)+(COUNTIF(G13:K13,"cl")*8)+(COUNTIF(G13:K13,"el")*8)+(COUNTIF(G13:K13,"cal")*8)+(COUNTIF(G13:K13,"E")*8)+($L$9*8))+IF($G$9=1,IF(OR(G13="sl",G13="v",G13="ml",G13="e",G13="t",G13="cl",G13="cal"),-8,0))+IF($H$9=1,IF(OR(H13="sl",H13="v",H13="ml",H13="e",H13="t",H13="cl",H13="cal"),-8,0))+IF($I$9=1,IF(OR(I13="sl",I13="v",I13="ml",I13="e",I13="t",I13="cl",I13="cal"),-8,0))+IF($J$9=1,IF(OR(J13="sl",J13="v",J13="ml",J13="e",J13="t",J13="cl",J13="cal"),-8,0))+IF($K$9=1,IF(OR(K13="sl",K13="v",K13="ml",K13="e",K13="t",K13="cl",K13="cal"),-8,0)))</f>
        <v>1</v>
      </c>
      <c r="P13" s="33">
        <f>IF(AND(E13="",F13="",G13="",H13="",I13="",J13="",K13=""),0,IF(AND(E13="",F13="",G13="",H13="",I13="",J13="",K13=""),0,SUM(E13:K13)-40-M13)+(COUNTIF(G13:K13,"v")*8)+(COUNTIF(G13:K13,"sl")*8)+(COUNTIF(G13:K13,"ml")*8)+(COUNTIF(G13:K13,"t")*8)+(COUNTIF(G13:K13,"cl")*8)+(COUNTIF(G13:K13,"el")*8)+(COUNTIF(G13:K13,"cal")*8)+(COUNTIF(G13:K13,"E")*8)+($L$9*8))+IF($G$9=1,IF(OR(G13="sl",G13="v",G13="ml",G13="e",G13="t",G13="cl",G13="cal"),-8,0))+IF($H$9=1,IF(OR(H13="sl",H13="v",H13="ml",H13="e",H13="t",H13="cl",H13="cal"),-8,0))+IF($I$9=1,IF(OR(I13="sl",I13="v",I13="ml",I13="e",I13="t",I13="cl",I13="cal"),-8,0))+IF($J$9=1,IF(OR(J13="sl",J13="v",J13="ml",J13="e",J13="t",J13="cl",J13="cal"),-8,0))+IF($K$9=1,IF(OR(K13="sl",K13="v",K13="ml",K13="e",K13="t",K13="cl",K13="cal"),-8,0))</f>
        <v>1</v>
      </c>
      <c r="Q13" s="56">
        <v>7</v>
      </c>
      <c r="R13" s="56">
        <v>7</v>
      </c>
      <c r="S13" s="56">
        <v>10</v>
      </c>
      <c r="T13" s="56">
        <v>0</v>
      </c>
      <c r="U13" s="56">
        <v>14</v>
      </c>
      <c r="V13" s="56">
        <v>10</v>
      </c>
      <c r="W13" s="56">
        <v>0</v>
      </c>
      <c r="X13" s="33">
        <f>IF(AND(AA13&lt;0,Z13&gt;0),0,(IF(AND(AB13&lt;0,BY13&gt;1),0,IF(AND(Q13="",R13="",S13="",T13="",U13="",V13="",W13=""),0,IF(AND(Q13="",R13="",S13="",T13="",U13="",V13="",W13=""),0,SUM(Q13:W13)-40-Y13)+(COUNTIF(S13:W13,"v")*8)+(COUNTIF(S13:W13,"sl")*8)+(COUNTIF(S13:W13,"ml")*8)+(COUNTIF(S13:W13,"t")*8)+(COUNTIF(S13:W13,"cl")*8)+(COUNTIF(S13:W13,"el")*8)+(COUNTIF(S13:W13,"cal")*8)+(COUNTIF(S13:W13,"E")*8)+($X$9*8))+IF($S$9=1,IF(OR(S13="sl",S13="v",S13="ml",S13="e",S13="t",S13="cl",S13="cal"),-8,0))+IF($T$9=1,IF(OR(T13="sl",T13="v",T13="ml",T13="e",T13="t",T13="cl",T13="cal"),-8,0))+IF($U$9=1,IF(OR(U13="sl",U13="v",U13="ml",U13="e",U13="t",U13="cl",U13="cal"),-8,0))+IF($V$9=1,IF(OR(V13="sl",V13="v",V13="ml",V13="e",V13="t",V13="cl",V13="cal"),-8,0))+IF($W$9=1,IF(OR(W13="sl",W13="v",W13="ml",W13="e",W13="t",W13="cl",W13="cal"),-8,0)))))</f>
        <v>8</v>
      </c>
      <c r="Y13" s="33">
        <f t="shared" ref="Y13" si="22">SUMIF(Q$9:W$9,1,Q13:W13)</f>
        <v>0</v>
      </c>
      <c r="Z13" s="100">
        <f>COUNTIF(Q13:R13,14)+IF(AND($S$9=0,S13=14),1,0)+IF(AND($T$9=0,T13=14),1,0)+IF(AND($U$9=0,U13=14),1,0)+IF(AND($V$9=0,V13=14),1,0)+IF(AND($W$9=0,W13=14),1,0)</f>
        <v>1</v>
      </c>
      <c r="AA13" s="99">
        <f>IF(AND(AB13&lt;0,BY13&gt;1),0,IF(AND(Q13="",R13="",S13="",T13="",U13="",V13="",W13=""),0,IF(AND(Q13="",R13="",S13="",T13="",U13="",V13="",W13=""),0,SUM(Q13:W13)-40-Y13)+(COUNTIF(S13:W13,"v")*8)+(COUNTIF(S13:W13,"sl")*8)+(COUNTIF(S13:W13,"ml")*8)+(COUNTIF(S13:W13,"t")*8)+(COUNTIF(S13:W13,"cl")*8)+(COUNTIF(S13:W13,"el")*8)+(COUNTIF(S13:W13,"cal")*8)+(COUNTIF(S13:W13,"E")*8)+($X$9*8))+IF($S$9=1,IF(OR(S13="sl",S13="v",S13="ml",S13="e",S13="t",S13="cl",S13="cal"),-8,0))+IF($T$9=1,IF(OR(T13="sl",T13="v",T13="ml",T13="e",T13="t",T13="cl",T13="cal"),-8,0))+IF($U$9=1,IF(OR(U13="sl",U13="v",U13="ml",U13="e",U13="t",U13="cl",U13="cal"),-8,0))+IF($V$9=1,IF(OR(V13="sl",V13="v",V13="ml",V13="e",V13="t",V13="cl",V13="cal"),-8,0))+IF($W$9=1,IF(OR(W13="sl",W13="v",W13="ml",W13="e",W13="t",W13="cl",W13="cal"),-8,0)))</f>
        <v>8</v>
      </c>
      <c r="AB13" s="33">
        <f>IF(AND(Q13="",R13="",S13="",T13="",U13="",V13="",W13=""),0,IF(AND(Q13="",R13="",S13="",T13="",U13="",V13="",W13=""),0,SUM(Q13:W13)-40-Y13)+(COUNTIF(S13:W13,"v")*8)+(COUNTIF(S13:W13,"sl")*8)+(COUNTIF(S13:W13,"ml")*8)+(COUNTIF(S13:W13,"t")*8)+(COUNTIF(S13:W13,"cl")*8)+(COUNTIF(S13:W13,"el")*8)+(COUNTIF(S13:W13,"cal")*8)+(COUNTIF(S13:W13,"E")*8)+($X$9*8))+IF($S$9=1,IF(OR(S13="sl",S13="v",S13="ml",S13="e",S13="t",S13="cl",S13="cal"),-8,0))+IF($T$9=1,IF(OR(T13="sl",T13="v",T13="ml",T13="e",T13="t",T13="cl",T13="cal"),-8,0))+IF($U$9=1,IF(OR(U13="sl",U13="v",U13="ml",U13="e",U13="t",U13="cl",U13="cal"),-8,0))+IF($V$9=1,IF(OR(V13="sl",V13="v",V13="ml",V13="e",V13="t",V13="cl",V13="cal"),-8,0))+IF($W$9=1,IF(OR(W13="sl",W13="v",W13="ml",W13="e",W13="t",W13="cl",W13="cal"),-8,0))</f>
        <v>8</v>
      </c>
      <c r="AC13" s="56">
        <v>14</v>
      </c>
      <c r="AD13" s="56">
        <v>10</v>
      </c>
      <c r="AE13" s="56">
        <v>0</v>
      </c>
      <c r="AF13" s="56">
        <v>0</v>
      </c>
      <c r="AG13" s="56">
        <v>7</v>
      </c>
      <c r="AH13" s="56">
        <v>7</v>
      </c>
      <c r="AI13" s="56">
        <v>14</v>
      </c>
      <c r="AJ13" s="33">
        <f>IF(AND(AM13&lt;0,AL13&gt;0),0,(IF(AND(AN13&lt;0,BY13&gt;1),0,IF(AND(AC13="",AD13="",AE13="",AF13="",AG13="",AH13="",AI13=""),0,IF(AND(AC13="",AD13="",AE13="",AF13="",AG13="",AH13="",AI13=""),0,SUM(AC13:AI13)-40-AK13)+(COUNTIF(AE13:AI13,"v")*8)+(COUNTIF(AE13:AI13,"sl")*8)+(COUNTIF(AE13:AI13,"ml")*8)+(COUNTIF(AE13:AI13,"t")*8)+(COUNTIF(AE13:AI13,"cl")*8)+(COUNTIF(AE13:AI13,"el")*8)+(COUNTIF(AE13:AI13,"cal")*8)+(COUNTIF(AE13:AI13,"E")*8)+($AJ$9*8))+IF($AE$9=1,IF(OR(AE13="sl",AE13="v",AE13="ml",AE13="e",AE13="t",AE13="cl",AE13="cal"),-8,0))+IF($AF$9=1,IF(OR(AF13="sl",AF13="v",AF13="ml",AF13="e",AF13="t",AF13="cl",AF13="cal"),-8,0))+IF($AG$9=1,IF(OR(AG13="sl",AG13="v",AG13="ml",AG13="e",AG13="t",AG13="cl",AG13="cal"),-8,0))+IF($AH$9=1,IF(OR(AH13="sl",AH13="v",AH13="ml",AH13="e",AH13="t",AH13="cl",AH13="cal"),-8,0))+IF($AI$9=1,IF(OR(AI13="sl",AI13="v",AI13="ml",AI13="e",AI13="t",AI13="cl",AI13="cal"),-8,0)))))</f>
        <v>12</v>
      </c>
      <c r="AK13" s="33">
        <f>SUMIF(AC$9:AI$9,1,AC13:AI13)</f>
        <v>0</v>
      </c>
      <c r="AL13" s="100">
        <f>COUNTIF(AC13:AD13,14)+IF(AND($AE$9=0,AE13=14),1,0)+IF(AND($AF$9=0,AF13=14),1,0)+IF(AND($AG$9=0,AG13=14),1,0)+IF(AND($AH$9=0,AH13=14),1,0)+IF(AND($AI$9=0,AI13=14),1,0)</f>
        <v>2</v>
      </c>
      <c r="AM13" s="99">
        <f>IF(AND(AN13&lt;0,BY13&gt;1),0,IF(AND(AC13="",AD13="",AE13="",AF13="",AG13="",AH13="",AI13=""),0,IF(AND(AC13="",AD13="",AE13="",AF13="",AG13="",AH13="",AI13=""),0,SUM(AC13:AI13)-40-AK13)+(COUNTIF(AE13:AI13,"v")*8)+(COUNTIF(AE13:AI13,"sl")*8)+(COUNTIF(AE13:AI13,"ml")*8)+(COUNTIF(AE13:AI13,"t")*8)+(COUNTIF(AE13:AI13,"cl")*8)+(COUNTIF(AE13:AI13,"el")*8)+(COUNTIF(AE13:AI13,"cal")*8)+(COUNTIF(AE13:AI13,"E")*8)+($AJ$9*8))+IF($AE$9=1,IF(OR(AE13="sl",AE13="v",AE13="ml",AE13="e",AE13="t",AE13="cl",AE13="cal"),-8,0))+IF($AF$9=1,IF(OR(AF13="sl",AF13="v",AF13="ml",AF13="e",AF13="t",AF13="cl",AF13="cal"),-8,0))+IF($AG$9=1,IF(OR(AG13="sl",AG13="v",AG13="ml",AG13="e",AG13="t",AG13="cl",AG13="cal"),-8,0))+IF($AH$9=1,IF(OR(AH13="sl",AH13="v",AH13="ml",AH13="e",AH13="t",AH13="cl",AH13="cal"),-8,0))+IF($AI$9=1,IF(OR(AI13="sl",AI13="v",AI13="ml",AI13="e",AI13="t",AI13="cl",AI13="cal"),-8,0)))</f>
        <v>12</v>
      </c>
      <c r="AN13" s="33">
        <f>IF(AND(AC13="",AD13="",AE13="",AF13="",AG13="",AH13="",AI13=""),0,IF(AND(AC13="",AD13="",AE13="",AF13="",AG13="",AH13="",AI13=""),0,SUM(AC13:AI13)-40-AK13)+(COUNTIF(AE13:AI13,"v")*8)+(COUNTIF(AE13:AI13,"sl")*8)+(COUNTIF(AE13:AI13,"ml")*8)+(COUNTIF(AE13:AI13,"t")*8)+(COUNTIF(AE13:AI13,"cl")*8)+(COUNTIF(AE13:AI13,"el")*8)+(COUNTIF(AE13:AI13,"cal")*8)+(COUNTIF(AE13:AI13,"E")*8)+($AJ$9*8))+IF($AE$9=1,IF(OR(AE13="sl",AE13="v",AE13="ml",AE13="e",AE13="t",AE13="cl",AE13="cal"),-8,0))+IF($AF$9=1,IF(OR(AF13="sl",AF13="v",AF13="ml",AF13="e",AF13="t",AF13="cl",AF13="cal"),-8,0))+IF($AG$9=1,IF(OR(AG13="sl",AG13="v",AG13="ml",AG13="e",AG13="t",AG13="cl",AG13="cal"),-8,0))+IF($AH$9=1,IF(OR(AH13="sl",AH13="v",AH13="ml",AH13="e",AH13="t",AH13="cl",AH13="cal"),-8,0))+IF($AI$9=1,IF(OR(AI13="sl",AI13="v",AI13="ml",AI13="e",AI13="t",AI13="cl",AI13="cal"),-8,0))</f>
        <v>12</v>
      </c>
      <c r="AO13" s="56">
        <v>10</v>
      </c>
      <c r="AP13" s="56">
        <v>0</v>
      </c>
      <c r="AQ13" s="56">
        <v>14</v>
      </c>
      <c r="AR13" s="56">
        <v>10</v>
      </c>
      <c r="AS13" s="56">
        <v>0</v>
      </c>
      <c r="AT13" s="56">
        <v>14</v>
      </c>
      <c r="AU13" s="56">
        <v>10</v>
      </c>
      <c r="AV13" s="33">
        <f>IF(AND(AY13&lt;0,AX13&gt;0),0,(IF(AND(AZ13&lt;0,BY13&gt;1),0,IF(AND(AO13="",AP13="",AQ13="",AR13="",AS13="",AT13="",AU13=""),0,IF(AND(AO13="",AP13="",AQ13="",AR13="",AS13="",AT13="",AU13=""),0,SUM(AO13:AU13)-40-AW13)+(COUNTIF(AQ13:AU13,"v")*8)+(COUNTIF(AQ13:AU13,"sl")*8)+(COUNTIF(AQ13:AU13,"ml")*8)+(COUNTIF(AQ13:AU13,"t")*8)+(COUNTIF(AQ13:AU13,"cl")*8)+(COUNTIF(AQ13:AU13,"el")*8)+(COUNTIF(AQ13:AU13,"cal")*8)+(COUNTIF(AQ13:AU13,"E")*8)+($AV$9*8))+IF($AQ$9=1,IF(OR(AQ13="sl",AQ13="v",AQ13="ml",AQ13="e",AQ13="t",AQ13="cl",AQ13="cal"),-8,0))+IF($AR$9=1,IF(OR(AR13="sl",AR13="v",AR13="ml",AR13="e",AR13="t",AR13="cl",AR13="cal"),-8,0))+IF($AS$9=1,IF(OR(AS13="sl",AS13="v",AS13="ml",AS13="e",AS13="t",AS13="cl",AS13="cal"),-8,0))+IF($AT$9=1,IF(OR(AT13="sl",AT13="v",AT13="ml",AT13="e",AT13="t",AT13="cl",AT13="cal"),-8,0))+IF($AU$9=1,IF(OR(AU13="sl",AU13="v",AU13="ml",AU13="e",AU13="t",AU13="cl",AU13="cal"),-8,0)))))</f>
        <v>18</v>
      </c>
      <c r="AW13" s="33">
        <f>SUMIF(AO$9:AU$9,1,AO13:AU13)</f>
        <v>0</v>
      </c>
      <c r="AX13" s="100">
        <f>COUNTIF(AO13:AP13,14)+IF(AND($AQ$9=0,AQ13=14),1,0)+IF(AND($AR$9=0,AR13=14),1,0)+IF(AND($AS$9=0,AS13=14),1,0)+IF(AND($AT$9=0,AT13=14),1,0)+IF(AND($AU$9=0,AU13=14),1,0)</f>
        <v>2</v>
      </c>
      <c r="AY13" s="99">
        <f>IF(AND(AZ13&lt;0,BY13&gt;1),0,IF(AND(AO13="",AP13="",AQ13="",AR13="",AS13="",AT13="",AU13=""),0,IF(AND(AO13="",AP13="",AQ13="",AR13="",AS13="",AT13="",AU13=""),0,SUM(AO13:AU13)-40-AW13)+(COUNTIF(AQ13:AU13,"v")*8)+(COUNTIF(AQ13:AU13,"sl")*8)+(COUNTIF(AQ13:AU13,"ml")*8)+(COUNTIF(AQ13:AU13,"t")*8)+(COUNTIF(AQ13:AU13,"cl")*8)+(COUNTIF(AQ13:AU13,"el")*8)+(COUNTIF(AQ13:AU13,"cal")*8)+(COUNTIF(AQ13:AU13,"E")*8)+($AV$9*8))+IF($AQ$9=1,IF(OR(AQ13="sl",AQ13="v",AQ13="ml",AQ13="e",AQ13="t",AQ13="cl",AQ13="cal"),-8,0))+IF($AR$9=1,IF(OR(AR13="sl",AR13="v",AR13="ml",AR13="e",AR13="t",AR13="cl",AR13="cal"),-8,0))+IF($AS$9=1,IF(OR(AS13="sl",AS13="v",AS13="ml",AS13="e",AS13="t",AS13="cl",AS13="cal"),-8,0))+IF($AT$9=1,IF(OR(AT13="sl",AT13="v",AT13="ml",AT13="e",AT13="t",AT13="cl",AT13="cal"),-8,0))+IF($AU$9=1,IF(OR(AU13="sl",AU13="v",AU13="ml",AU13="e",AU13="t",AU13="cl",AU13="cal"),-8,0)))</f>
        <v>18</v>
      </c>
      <c r="AZ13" s="33">
        <f>IF(AND(AO13="",AP13="",AQ13="",AR13="",AS13="",AT13="",AU13=""),0,IF(AND(AO13="",AP13="",AQ13="",AR13="",AS13="",AT13="",AU13=""),0,SUM(AO13:AU13)-40-AW13)+(COUNTIF(AQ13:AU13,"v")*8)+(COUNTIF(AQ13:AU13,"sl")*8)+(COUNTIF(AQ13:AU13,"ml")*8)+(COUNTIF(AQ13:AU13,"t")*8)+(COUNTIF(AQ13:AU13,"cl")*8)+(COUNTIF(AQ13:AU13,"el")*8)+(COUNTIF(AQ13:AU13,"cal")*8)+(COUNTIF(AQ13:AU13,"E")*8)+($AV$9*8))+IF($AQ$9=1,IF(OR(AQ13="sl",AQ13="v",AQ13="ml",AQ13="e",AQ13="t",AQ13="cl",AQ13="cal"),-8,0))+IF($AR$9=1,IF(OR(AR13="sl",AR13="v",AR13="ml",AR13="e",AR13="t",AR13="cl",AR13="cal"),-8,0))+IF($AS$9=1,IF(OR(AS13="sl",AS13="v",AS13="ml",AS13="e",AS13="t",AS13="cl",AS13="cal"),-8,0))+IF($AT$9=1,IF(OR(AT13="sl",AT13="v",AT13="ml",AT13="e",AT13="t",AT13="cl",AT13="cal"),-8,0))+IF($AU$9=1,IF(OR(AU13="sl",AU13="v",AU13="ml",AU13="e",AU13="t",AU13="cl",AU13="cal"),-8,0))</f>
        <v>18</v>
      </c>
      <c r="BA13" s="56"/>
      <c r="BB13" s="56"/>
      <c r="BC13" s="56"/>
      <c r="BD13" s="56"/>
      <c r="BE13" s="56"/>
      <c r="BF13" s="56"/>
      <c r="BG13" s="56"/>
      <c r="BH13" s="33">
        <f>IF(AND(BK13&lt;0,BJ13&gt;0),0,(IF(AND(BL13&lt;0,BY13&gt;1),0,IF(AND(BA13="",BB13="",BC13="",BD13="",BE13="",BF13="",BG13=""),0,IF(AND(BA13="",BB13="",BC13="",BD13="",BE13="",BF13="",BG13=""),0,SUM(BA13:BG13)-40-BI13)+(COUNTIF(BC13:BG13,"v")*8)+(COUNTIF(BC13:BG13,"sl")*8)+(COUNTIF(BC13:BG13,"ml")*8)+(COUNTIF(BC13:BG13,"t")*8)+(COUNTIF(BC13:BG13,"cl")*8)+(COUNTIF(BC13:BG13,"el")*8)+(COUNTIF(BC13:BG13,"cal")*8)+(COUNTIF(BC13:BG13,"E")*8)+($BH$9*8))+IF($BC$9=1,IF(OR(BC13="sl",BC13="v",BC13="ml",BC13="e",BC13="t",BC13="cl",BC13="cal"),-8,0))+IF($BD$9=1,IF(OR(BD13="sl",BD13="v",BD13="ml",BD13="e",BD13="t",BD13="cl",BD13="cal"),-8,0))+IF($BE$9=1,IF(OR(BE13="sl",BE13="v",BE13="ml",BE13="e",BE13="t",BE13="cl",BE13="cal"),-8,0))+IF($BF$9=1,IF(OR(BF13="sl",BF13="v",BF13="ml",BF13="e",BF13="t",BF13="cl",BF13="cal"),-8,0))+IF($BG$9=1,IF(OR(BG13="sl",BG13="v",BG13="ml",BG13="e",BG13="t",BG13="cl",BG13="cal"),-8,0)))))</f>
        <v>0</v>
      </c>
      <c r="BI13" s="33">
        <f>SUMIF(BA$9:BG$9,1,BA13:BG13)</f>
        <v>0</v>
      </c>
      <c r="BJ13" s="100">
        <f>COUNTIF(BA13:BB13,14)+IF(AND($BC$9=0,BC13=14),1,0)+IF(AND($BD$9=0,BD13=14),1,0)+IF(AND($BE$9=0,BE13=14),1,0)+IF(AND($BF$9=0,BF13=14),1,0)+IF(AND($BG$9=0,BG13=14),1,0)</f>
        <v>0</v>
      </c>
      <c r="BK13" s="99">
        <f>IF(AND(BL13&lt;0,BY13&gt;1),0,IF(AND(BA13="",BB13="",BC13="",BD13="",BE13="",BF13="",BG13=""),0,IF(AND(BA13="",BB13="",BC13="",BD13="",BE13="",BF13="",BG13=""),0,SUM(BA13:BG13)-40-BI13)+(COUNTIF(BC13:BG13,"v")*8)+(COUNTIF(BC13:BG13,"sl")*8)+(COUNTIF(BC13:BG13,"ml")*8)+(COUNTIF(BC13:BG13,"t")*8)+(COUNTIF(BC13:BG13,"cl")*8)+(COUNTIF(BC13:BG13,"el")*8)+(COUNTIF(BC13:BG13,"cal")*8)+(COUNTIF(BC13:BG13,"E")*8)+($BH$9*8))+IF($BC$9=1,IF(OR(BC13="sl",BC13="v",BC13="ml",BC13="e",BC13="t",BC13="cl",BC13="cal"),-8,0))+IF($BD$9=1,IF(OR(BD13="sl",BD13="v",BD13="ml",BD13="e",BD13="t",BD13="cl",BD13="cal"),-8,0))+IF($BE$9=1,IF(OR(BE13="sl",BE13="v",BE13="ml",BE13="e",BE13="t",BE13="cl",BE13="cal"),-8,0))+IF($BF$9=1,IF(OR(BF13="sl",BF13="v",BF13="ml",BF13="e",BF13="t",BF13="cl",BF13="cal"),-8,0))+IF($BG$9=1,IF(OR(BG13="sl",BG13="v",BG13="ml",BG13="e",BG13="t",BG13="cl",BG13="cal"),-8,0)))</f>
        <v>0</v>
      </c>
      <c r="BL13" s="33">
        <f>IF(AND(BA13="",BB13="",BC13="",BD13="",BE13="",BF13="",BG13=""),0,IF(AND(BA13="",BB13="",BC13="",BD13="",BE13="",BF13="",BG13=""),0,SUM(BA13:BG13)-40-BI13)+(COUNTIF(BC13:BG13,"v")*8)+(COUNTIF(BC13:BG13,"sl")*8)+(COUNTIF(BC13:BG13,"ml")*8)+(COUNTIF(BC13:BG13,"t")*8)+(COUNTIF(BC13:BG13,"cl")*8)+(COUNTIF(BC13:BG13,"el")*8)+(COUNTIF(BC13:BG13,"cal")*8)+(COUNTIF(BC13:BG13,"E")*8)+($BH$9*8))+IF($BC$9=1,IF(OR(BC13="sl",BC13="v",BC13="ml",BC13="e",BC13="t",BC13="cl",BC13="cal"),-8,0))+IF($BD$9=1,IF(OR(BD13="sl",BD13="v",BD13="ml",BD13="e",BD13="t",BD13="cl",BD13="cal"),-8,0))+IF($BE$9=1,IF(OR(BE13="sl",BE13="v",BE13="ml",BE13="e",BE13="t",BE13="cl",BE13="cal"),-8,0))+IF($BF$9=1,IF(OR(BF13="sl",BF13="v",BF13="ml",BF13="e",BF13="t",BF13="cl",BF13="cal"),-8,0))+IF($BG$9=1,IF(OR(BG13="sl",BG13="v",BG13="ml",BG13="e",BG13="t",BG13="cl",BG13="cal"),-8,0))</f>
        <v>0</v>
      </c>
      <c r="BM13" s="39"/>
      <c r="BN13" s="39"/>
      <c r="BO13" s="39"/>
      <c r="BP13" s="39"/>
      <c r="BQ13" s="39"/>
      <c r="BR13" s="39"/>
      <c r="BS13" s="39"/>
      <c r="BT13" s="33">
        <f>IF(AND(BW13&lt;0,BV13&gt;0),0,(IF(AND(BX13&lt;0,BY13&gt;1),0,IF(AND(BM13="",BN13="",BO13="",BP13="",BQ13="",BR13="",BS13=""),0,IF(AND(BM13="",BN13="",BO13="",BP13="",BQ13="",BR13="",BS13=""),0,SUM(BM13:BS13)-40-BU13)+(COUNTIF(BO13:BS13,"v")*8)+(COUNTIF(BO13:BS13,"sl")*8)+(COUNTIF(BO13:BS13,"ml")*8)+(COUNTIF(BO13:BS13,"t")*8)+(COUNTIF(BO13:BS13,"cl")*8)+(COUNTIF(BO13:BS13,"el")*8)+(COUNTIF(BO13:BS13,"cal")*8)+(COUNTIF(BO13:BS13,"E")*8)+($BT$9*8))+IF($BO$9=1,IF(OR(BO13="sl",BO13="v",BO13="ml",BO13="e",BO13="t",BO13="cl",BO13="cal"),-8,0))+IF($BP$9=1,IF(OR(BP13="sl",BP13="v",BP13="ml",BP13="e",BP13="t",BP13="cl",BP13="cal"),-8,0))+IF($BQ$9=1,IF(OR(BQ13="sl",BQ13="v",BQ13="ml",BQ13="e",BQ13="t",BQ13="cl",BQ13="cal"),-8,0))+IF($BR$9=1,IF(OR(BR13="sl",BR13="v",BR13="ml",BR13="e",BR13="t",BR13="cl",BR13="cal"),-8,0))+IF($BS$9=1,IF(OR(BS13="sl",BS13="v",BS13="ml",BS13="e",BS13="t",BS13="cl",BS13="cal"),-8,0)))))</f>
        <v>0</v>
      </c>
      <c r="BU13" s="33">
        <f>SUMIF(BM$9:BS$9,1,BM13:BS13)</f>
        <v>0</v>
      </c>
      <c r="BV13" s="100">
        <f>COUNTIF(BM13:BN13,14)+IF(AND($BO$9=0,BO13=14),1,0)+IF(AND($BP$9=0,BP13=14),1,0)+IF(AND($BQ$9=0,BQ13=14),1,0)+IF(AND($BR$9=0,BR13=14),1,0)+IF(AND($BS$9=0,BS13=14),1,0)</f>
        <v>0</v>
      </c>
      <c r="BW13" s="99">
        <f>IF(AND(BX13&lt;0,BY13&gt;1),0,IF(AND(BM13="",BN13="",BO13="",BP13="",BQ13="",BR13="",BS13=""),0,IF(AND(BM13="",BN13="",BO13="",BP13="",BQ13="",BR13="",BS13=""),0,SUM(BM13:BS13)-40-BU13)+(COUNTIF(BO13:BS13,"v")*8)+(COUNTIF(BO13:BS13,"sl")*8)+(COUNTIF(BO13:BS13,"ml")*8)+(COUNTIF(BO13:BS13,"t")*8)+(COUNTIF(BO13:BS13,"cl")*8)+(COUNTIF(BO13:BS13,"el")*8)+(COUNTIF(BO13:BS13,"cal")*8)+(COUNTIF(BO13:BS13,"E")*8)+($BT$9*8))+IF($BO$9=1,IF(OR(BO13="sl",BO13="v",BO13="ml",BO13="e",BO13="t",BO13="cl",BO13="cal"),-8,0))+IF($BP$9=1,IF(OR(BP13="sl",BP13="v",BP13="ml",BP13="e",BP13="t",BP13="cl",BP13="cal"),-8,0))+IF($BQ$9=1,IF(OR(BQ13="sl",BQ13="v",BQ13="ml",BQ13="e",BQ13="t",BQ13="cl",BQ13="cal"),-8,0))+IF($BR$9=1,IF(OR(BR13="sl",BR13="v",BR13="ml",BR13="e",BR13="t",BR13="cl",BR13="cal"),-8,0))+IF($BS$9=1,IF(OR(BS13="sl",BS13="v",BS13="ml",BS13="e",BS13="t",BS13="cl",BS13="cal"),-8,0)))</f>
        <v>0</v>
      </c>
      <c r="BX13" s="33">
        <f>IF(AND(BM13="",BN13="",BO13="",BP13="",BQ13="",BR13="",BS13=""),0,IF(AND(BM13="",BN13="",BO13="",BP13="",BQ13="",BR13="",BS13=""),0,SUM(BM13:BS13)-40-BU13)+(COUNTIF(BO13:BS13,"v")*8)+(COUNTIF(BO13:BS13,"sl")*8)+(COUNTIF(BO13:BS13,"ml")*8)+(COUNTIF(BO13:BS13,"t")*8)+(COUNTIF(BO13:BS13,"cl")*8)+(COUNTIF(BO13:BS13,"el")*8)+(COUNTIF(BO13:BS13,"cal")*8)+(COUNTIF(BO13:BS13,"E")*8)+($BT$9*8))+IF($BO$9=1,IF(OR(BO13="sl",BO13="v",BO13="ml",BO13="e",BO13="t",BO13="cl",BO13="cal"),-8,0))+IF($BP$9=1,IF(OR(BP13="sl",BP13="v",BP13="ml",BP13="e",BP13="t",BP13="cl",BP13="cal"),-8,0))+IF($BQ$9=1,IF(OR(BQ13="sl",BQ13="v",BQ13="ml",BQ13="e",BQ13="t",BQ13="cl",BQ13="cal"),-8,0))+IF($BR$9=1,IF(OR(BR13="sl",BR13="v",BR13="ml",BR13="e",BR13="t",BR13="cl",BR13="cal"),-8,0))+IF($BS$9=1,IF(OR(BS13="sl",BS13="v",BS13="ml",BS13="e",BS13="t",BS13="cl",BS13="cal"),-8,0))</f>
        <v>0</v>
      </c>
      <c r="BY13" s="98">
        <f>SUM(N13,Z13,AL13,AX13,BJ13,BV13)</f>
        <v>5</v>
      </c>
      <c r="BZ13" s="36">
        <f>IF(SUM(AV13,BH13,AJ13,X13,L13,BT13)&lt;0,0,SUM(AV13,BH13,AJ13,X13,L13,BT13))</f>
        <v>39</v>
      </c>
      <c r="CA13" s="37">
        <f>SUM(AW13,BI13,AK13,Y13,M13,BU13)</f>
        <v>0</v>
      </c>
      <c r="CB13" s="38">
        <f>(BZ13*CC13)+(CA13*CD13)</f>
        <v>54290.839781249997</v>
      </c>
      <c r="CC13" s="10">
        <f>D13*12/2080*1.5</f>
        <v>1392.0728149038462</v>
      </c>
      <c r="CD13" s="11">
        <f>D13*12/2080*2</f>
        <v>1856.0970865384616</v>
      </c>
    </row>
    <row r="14" spans="1:82" s="1" customFormat="1" ht="16.5" customHeight="1">
      <c r="A14" s="53"/>
      <c r="B14" s="54">
        <v>3</v>
      </c>
      <c r="C14" s="55">
        <v>18004357</v>
      </c>
      <c r="D14" s="96">
        <f>IF(C14="",0,VLOOKUP(C14,Conf!A:D,4,FALSE))</f>
        <v>160396.56916666668</v>
      </c>
      <c r="E14" s="56">
        <v>10</v>
      </c>
      <c r="F14" s="56">
        <v>7</v>
      </c>
      <c r="G14" s="56">
        <v>10</v>
      </c>
      <c r="H14" s="56">
        <v>10</v>
      </c>
      <c r="I14" s="56">
        <v>10</v>
      </c>
      <c r="J14" s="56">
        <v>10</v>
      </c>
      <c r="K14" s="56">
        <v>10</v>
      </c>
      <c r="L14" s="33">
        <f t="shared" ref="L14:L44" si="23">IF(AND(O14&lt;0,N14&gt;0),0,(IF(AND(P14&lt;0,BY14&gt;1),0,IF(AND(E14="",F14="",G14="",H14="",I14="",J14="",K14=""),0,IF(AND(E14="",F14="",G14="",H14="",I14="",J14="",K14=""),0,SUM(E14:K14)-40-M14)+(COUNTIF(G14:K14,"v")*8)+(COUNTIF(G14:K14,"sl")*8)+(COUNTIF(G14:K14,"ml")*8)+(COUNTIF(G14:K14,"t")*8)+(COUNTIF(G14:K14,"cl")*8)+(COUNTIF(G14:K14,"el")*8)+(COUNTIF(G14:K14,"cal")*8)+(COUNTIF(G14:K14,"E")*8)+($L$9*8))+IF($G$9=1,IF(OR(G14="sl",G14="v",G14="ml",G14="e",G14="t",G14="cl",G14="cal"),-8,0))+IF($H$9=1,IF(OR(H14="sl",H14="v",H14="ml",H14="e",H14="t",H14="cl",H14="cal"),-8,0))+IF($I$9=1,IF(OR(I14="sl",I14="v",I14="ml",I14="e",I14="t",I14="cl",I14="cal"),-8,0))+IF($J$9=1,IF(OR(J14="sl",J14="v",J14="ml",J14="e",J14="t",J14="cl",J14="cal"),-8,0))+IF($K$9=1,IF(OR(K14="sl",K14="v",K14="ml",K14="e",K14="t",K14="cl",K14="cal"),-8,0)))))</f>
        <v>27</v>
      </c>
      <c r="M14" s="33">
        <f t="shared" ref="M14:M44" si="24">SUMIF(E$9:K$9,1,E14:K14)</f>
        <v>0</v>
      </c>
      <c r="N14" s="100">
        <f t="shared" ref="N14:N44" si="25">COUNTIF(E14:F14,14)+IF(AND($G$9=0,G14=14),1,0)+IF(AND($H$9=0,H14=14),1,0)+IF(AND($I$9=0,I14=14),1,0)+IF(AND($J$9=0,J14=14),1,0)+IF(AND($K$9=0,K14=14),1,0)</f>
        <v>0</v>
      </c>
      <c r="O14" s="99">
        <f t="shared" ref="O14:O44" si="26">IF(AND(P14&lt;0,BY14&gt;1),0,IF(AND(E14="",F14="",G14="",H14="",I14="",J14="",K14=""),0,IF(AND(E14="",F14="",G14="",H14="",I14="",J14="",K14=""),0,SUM(E14:K14)-40-M14)+(COUNTIF(G14:K14,"v")*8)+(COUNTIF(G14:K14,"sl")*8)+(COUNTIF(G14:K14,"ml")*8)+(COUNTIF(G14:K14,"t")*8)+(COUNTIF(G14:K14,"cl")*8)+(COUNTIF(G14:K14,"el")*8)+(COUNTIF(G14:K14,"cal")*8)+(COUNTIF(G14:K14,"E")*8)+($L$9*8))+IF($G$9=1,IF(OR(G14="sl",G14="v",G14="ml",G14="e",G14="t",G14="cl",G14="cal"),-8,0))+IF($H$9=1,IF(OR(H14="sl",H14="v",H14="ml",H14="e",H14="t",H14="cl",H14="cal"),-8,0))+IF($I$9=1,IF(OR(I14="sl",I14="v",I14="ml",I14="e",I14="t",I14="cl",I14="cal"),-8,0))+IF($J$9=1,IF(OR(J14="sl",J14="v",J14="ml",J14="e",J14="t",J14="cl",J14="cal"),-8,0))+IF($K$9=1,IF(OR(K14="sl",K14="v",K14="ml",K14="e",K14="t",K14="cl",K14="cal"),-8,0)))</f>
        <v>27</v>
      </c>
      <c r="P14" s="33">
        <f t="shared" ref="P14:P44" si="27">IF(AND(E14="",F14="",G14="",H14="",I14="",J14="",K14=""),0,IF(AND(E14="",F14="",G14="",H14="",I14="",J14="",K14=""),0,SUM(E14:K14)-40-M14)+(COUNTIF(G14:K14,"v")*8)+(COUNTIF(G14:K14,"sl")*8)+(COUNTIF(G14:K14,"ml")*8)+(COUNTIF(G14:K14,"t")*8)+(COUNTIF(G14:K14,"cl")*8)+(COUNTIF(G14:K14,"el")*8)+(COUNTIF(G14:K14,"cal")*8)+(COUNTIF(G14:K14,"E")*8)+($L$9*8))+IF($G$9=1,IF(OR(G14="sl",G14="v",G14="ml",G14="e",G14="t",G14="cl",G14="cal"),-8,0))+IF($H$9=1,IF(OR(H14="sl",H14="v",H14="ml",H14="e",H14="t",H14="cl",H14="cal"),-8,0))+IF($I$9=1,IF(OR(I14="sl",I14="v",I14="ml",I14="e",I14="t",I14="cl",I14="cal"),-8,0))+IF($J$9=1,IF(OR(J14="sl",J14="v",J14="ml",J14="e",J14="t",J14="cl",J14="cal"),-8,0))+IF($K$9=1,IF(OR(K14="sl",K14="v",K14="ml",K14="e",K14="t",K14="cl",K14="cal"),-8,0))</f>
        <v>27</v>
      </c>
      <c r="Q14" s="56">
        <v>10</v>
      </c>
      <c r="R14" s="56">
        <v>0</v>
      </c>
      <c r="S14" s="56">
        <v>14</v>
      </c>
      <c r="T14" s="56">
        <v>10</v>
      </c>
      <c r="U14" s="56">
        <v>0</v>
      </c>
      <c r="V14" s="56">
        <v>14</v>
      </c>
      <c r="W14" s="56">
        <v>10</v>
      </c>
      <c r="X14" s="33">
        <f t="shared" ref="X14:X44" si="28">IF(AND(AA14&lt;0,Z14&gt;0),0,(IF(AND(AB14&lt;0,BY14&gt;1),0,IF(AND(Q14="",R14="",S14="",T14="",U14="",V14="",W14=""),0,IF(AND(Q14="",R14="",S14="",T14="",U14="",V14="",W14=""),0,SUM(Q14:W14)-40-Y14)+(COUNTIF(S14:W14,"v")*8)+(COUNTIF(S14:W14,"sl")*8)+(COUNTIF(S14:W14,"ml")*8)+(COUNTIF(S14:W14,"t")*8)+(COUNTIF(S14:W14,"cl")*8)+(COUNTIF(S14:W14,"el")*8)+(COUNTIF(S14:W14,"cal")*8)+(COUNTIF(S14:W14,"E")*8)+($X$9*8))+IF($S$9=1,IF(OR(S14="sl",S14="v",S14="ml",S14="e",S14="t",S14="cl",S14="cal"),-8,0))+IF($T$9=1,IF(OR(T14="sl",T14="v",T14="ml",T14="e",T14="t",T14="cl",T14="cal"),-8,0))+IF($U$9=1,IF(OR(U14="sl",U14="v",U14="ml",U14="e",U14="t",U14="cl",U14="cal"),-8,0))+IF($V$9=1,IF(OR(V14="sl",V14="v",V14="ml",V14="e",V14="t",V14="cl",V14="cal"),-8,0))+IF($W$9=1,IF(OR(W14="sl",W14="v",W14="ml",W14="e",W14="t",W14="cl",W14="cal"),-8,0)))))</f>
        <v>18</v>
      </c>
      <c r="Y14" s="33">
        <f t="shared" ref="Y14:Y44" si="29">SUMIF(Q$9:W$9,1,Q14:W14)</f>
        <v>0</v>
      </c>
      <c r="Z14" s="100">
        <f t="shared" ref="Z14:Z44" si="30">COUNTIF(Q14:R14,14)+IF(AND($S$9=0,S14=14),1,0)+IF(AND($T$9=0,T14=14),1,0)+IF(AND($U$9=0,U14=14),1,0)+IF(AND($V$9=0,V14=14),1,0)+IF(AND($W$9=0,W14=14),1,0)</f>
        <v>2</v>
      </c>
      <c r="AA14" s="99">
        <f t="shared" ref="AA14:AA44" si="31">IF(AND(AB14&lt;0,BY14&gt;1),0,IF(AND(Q14="",R14="",S14="",T14="",U14="",V14="",W14=""),0,IF(AND(Q14="",R14="",S14="",T14="",U14="",V14="",W14=""),0,SUM(Q14:W14)-40-Y14)+(COUNTIF(S14:W14,"v")*8)+(COUNTIF(S14:W14,"sl")*8)+(COUNTIF(S14:W14,"ml")*8)+(COUNTIF(S14:W14,"t")*8)+(COUNTIF(S14:W14,"cl")*8)+(COUNTIF(S14:W14,"el")*8)+(COUNTIF(S14:W14,"cal")*8)+(COUNTIF(S14:W14,"E")*8)+($X$9*8))+IF($S$9=1,IF(OR(S14="sl",S14="v",S14="ml",S14="e",S14="t",S14="cl",S14="cal"),-8,0))+IF($T$9=1,IF(OR(T14="sl",T14="v",T14="ml",T14="e",T14="t",T14="cl",T14="cal"),-8,0))+IF($U$9=1,IF(OR(U14="sl",U14="v",U14="ml",U14="e",U14="t",U14="cl",U14="cal"),-8,0))+IF($V$9=1,IF(OR(V14="sl",V14="v",V14="ml",V14="e",V14="t",V14="cl",V14="cal"),-8,0))+IF($W$9=1,IF(OR(W14="sl",W14="v",W14="ml",W14="e",W14="t",W14="cl",W14="cal"),-8,0)))</f>
        <v>18</v>
      </c>
      <c r="AB14" s="33">
        <f t="shared" ref="AB14:AB44" si="32">IF(AND(Q14="",R14="",S14="",T14="",U14="",V14="",W14=""),0,IF(AND(Q14="",R14="",S14="",T14="",U14="",V14="",W14=""),0,SUM(Q14:W14)-40-Y14)+(COUNTIF(S14:W14,"v")*8)+(COUNTIF(S14:W14,"sl")*8)+(COUNTIF(S14:W14,"ml")*8)+(COUNTIF(S14:W14,"t")*8)+(COUNTIF(S14:W14,"cl")*8)+(COUNTIF(S14:W14,"el")*8)+(COUNTIF(S14:W14,"cal")*8)+(COUNTIF(S14:W14,"E")*8)+($X$9*8))+IF($S$9=1,IF(OR(S14="sl",S14="v",S14="ml",S14="e",S14="t",S14="cl",S14="cal"),-8,0))+IF($T$9=1,IF(OR(T14="sl",T14="v",T14="ml",T14="e",T14="t",T14="cl",T14="cal"),-8,0))+IF($U$9=1,IF(OR(U14="sl",U14="v",U14="ml",U14="e",U14="t",U14="cl",U14="cal"),-8,0))+IF($V$9=1,IF(OR(V14="sl",V14="v",V14="ml",V14="e",V14="t",V14="cl",V14="cal"),-8,0))+IF($W$9=1,IF(OR(W14="sl",W14="v",W14="ml",W14="e",W14="t",W14="cl",W14="cal"),-8,0))</f>
        <v>18</v>
      </c>
      <c r="AC14" s="56">
        <v>0</v>
      </c>
      <c r="AD14" s="56">
        <v>14</v>
      </c>
      <c r="AE14" s="56">
        <v>7</v>
      </c>
      <c r="AF14" s="56">
        <v>7</v>
      </c>
      <c r="AG14" s="56">
        <v>10</v>
      </c>
      <c r="AH14" s="56">
        <v>10</v>
      </c>
      <c r="AI14" s="56">
        <v>0</v>
      </c>
      <c r="AJ14" s="33">
        <f t="shared" ref="AJ14:AJ44" si="33">IF(AND(AM14&lt;0,AL14&gt;0),0,(IF(AND(AN14&lt;0,BY14&gt;1),0,IF(AND(AC14="",AD14="",AE14="",AF14="",AG14="",AH14="",AI14=""),0,IF(AND(AC14="",AD14="",AE14="",AF14="",AG14="",AH14="",AI14=""),0,SUM(AC14:AI14)-40-AK14)+(COUNTIF(AE14:AI14,"v")*8)+(COUNTIF(AE14:AI14,"sl")*8)+(COUNTIF(AE14:AI14,"ml")*8)+(COUNTIF(AE14:AI14,"t")*8)+(COUNTIF(AE14:AI14,"cl")*8)+(COUNTIF(AE14:AI14,"el")*8)+(COUNTIF(AE14:AI14,"cal")*8)+(COUNTIF(AE14:AI14,"E")*8)+($AJ$9*8))+IF($AE$9=1,IF(OR(AE14="sl",AE14="v",AE14="ml",AE14="e",AE14="t",AE14="cl",AE14="cal"),-8,0))+IF($AF$9=1,IF(OR(AF14="sl",AF14="v",AF14="ml",AF14="e",AF14="t",AF14="cl",AF14="cal"),-8,0))+IF($AG$9=1,IF(OR(AG14="sl",AG14="v",AG14="ml",AG14="e",AG14="t",AG14="cl",AG14="cal"),-8,0))+IF($AH$9=1,IF(OR(AH14="sl",AH14="v",AH14="ml",AH14="e",AH14="t",AH14="cl",AH14="cal"),-8,0))+IF($AI$9=1,IF(OR(AI14="sl",AI14="v",AI14="ml",AI14="e",AI14="t",AI14="cl",AI14="cal"),-8,0)))))</f>
        <v>8</v>
      </c>
      <c r="AK14" s="33">
        <f t="shared" ref="AK14:AK44" si="34">SUMIF(AC$9:AI$9,1,AC14:AI14)</f>
        <v>0</v>
      </c>
      <c r="AL14" s="100">
        <f t="shared" ref="AL14:AL44" si="35">COUNTIF(AC14:AD14,14)+IF(AND($AE$9=0,AE14=14),1,0)+IF(AND($AF$9=0,AF14=14),1,0)+IF(AND($AG$9=0,AG14=14),1,0)+IF(AND($AH$9=0,AH14=14),1,0)+IF(AND($AI$9=0,AI14=14),1,0)</f>
        <v>1</v>
      </c>
      <c r="AM14" s="99">
        <f t="shared" ref="AM14:AM44" si="36">IF(AND(AN14&lt;0,BY14&gt;1),0,IF(AND(AC14="",AD14="",AE14="",AF14="",AG14="",AH14="",AI14=""),0,IF(AND(AC14="",AD14="",AE14="",AF14="",AG14="",AH14="",AI14=""),0,SUM(AC14:AI14)-40-AK14)+(COUNTIF(AE14:AI14,"v")*8)+(COUNTIF(AE14:AI14,"sl")*8)+(COUNTIF(AE14:AI14,"ml")*8)+(COUNTIF(AE14:AI14,"t")*8)+(COUNTIF(AE14:AI14,"cl")*8)+(COUNTIF(AE14:AI14,"el")*8)+(COUNTIF(AE14:AI14,"cal")*8)+(COUNTIF(AE14:AI14,"E")*8)+($AJ$9*8))+IF($AE$9=1,IF(OR(AE14="sl",AE14="v",AE14="ml",AE14="e",AE14="t",AE14="cl",AE14="cal"),-8,0))+IF($AF$9=1,IF(OR(AF14="sl",AF14="v",AF14="ml",AF14="e",AF14="t",AF14="cl",AF14="cal"),-8,0))+IF($AG$9=1,IF(OR(AG14="sl",AG14="v",AG14="ml",AG14="e",AG14="t",AG14="cl",AG14="cal"),-8,0))+IF($AH$9=1,IF(OR(AH14="sl",AH14="v",AH14="ml",AH14="e",AH14="t",AH14="cl",AH14="cal"),-8,0))+IF($AI$9=1,IF(OR(AI14="sl",AI14="v",AI14="ml",AI14="e",AI14="t",AI14="cl",AI14="cal"),-8,0)))</f>
        <v>8</v>
      </c>
      <c r="AN14" s="33">
        <f t="shared" ref="AN14:AN44" si="37">IF(AND(AC14="",AD14="",AE14="",AF14="",AG14="",AH14="",AI14=""),0,IF(AND(AC14="",AD14="",AE14="",AF14="",AG14="",AH14="",AI14=""),0,SUM(AC14:AI14)-40-AK14)+(COUNTIF(AE14:AI14,"v")*8)+(COUNTIF(AE14:AI14,"sl")*8)+(COUNTIF(AE14:AI14,"ml")*8)+(COUNTIF(AE14:AI14,"t")*8)+(COUNTIF(AE14:AI14,"cl")*8)+(COUNTIF(AE14:AI14,"el")*8)+(COUNTIF(AE14:AI14,"cal")*8)+(COUNTIF(AE14:AI14,"E")*8)+($AJ$9*8))+IF($AE$9=1,IF(OR(AE14="sl",AE14="v",AE14="ml",AE14="e",AE14="t",AE14="cl",AE14="cal"),-8,0))+IF($AF$9=1,IF(OR(AF14="sl",AF14="v",AF14="ml",AF14="e",AF14="t",AF14="cl",AF14="cal"),-8,0))+IF($AG$9=1,IF(OR(AG14="sl",AG14="v",AG14="ml",AG14="e",AG14="t",AG14="cl",AG14="cal"),-8,0))+IF($AH$9=1,IF(OR(AH14="sl",AH14="v",AH14="ml",AH14="e",AH14="t",AH14="cl",AH14="cal"),-8,0))+IF($AI$9=1,IF(OR(AI14="sl",AI14="v",AI14="ml",AI14="e",AI14="t",AI14="cl",AI14="cal"),-8,0))</f>
        <v>8</v>
      </c>
      <c r="AO14" s="56">
        <v>14</v>
      </c>
      <c r="AP14" s="56">
        <v>10</v>
      </c>
      <c r="AQ14" s="56">
        <v>0</v>
      </c>
      <c r="AR14" s="56">
        <v>14</v>
      </c>
      <c r="AS14" s="56">
        <v>10</v>
      </c>
      <c r="AT14" s="56">
        <v>0</v>
      </c>
      <c r="AU14" s="56">
        <v>14</v>
      </c>
      <c r="AV14" s="33">
        <f t="shared" ref="AV14:AV44" si="38">IF(AND(AY14&lt;0,AX14&gt;0),0,(IF(AND(AZ14&lt;0,BY14&gt;1),0,IF(AND(AO14="",AP14="",AQ14="",AR14="",AS14="",AT14="",AU14=""),0,IF(AND(AO14="",AP14="",AQ14="",AR14="",AS14="",AT14="",AU14=""),0,SUM(AO14:AU14)-40-AW14)+(COUNTIF(AQ14:AU14,"v")*8)+(COUNTIF(AQ14:AU14,"sl")*8)+(COUNTIF(AQ14:AU14,"ml")*8)+(COUNTIF(AQ14:AU14,"t")*8)+(COUNTIF(AQ14:AU14,"cl")*8)+(COUNTIF(AQ14:AU14,"el")*8)+(COUNTIF(AQ14:AU14,"cal")*8)+(COUNTIF(AQ14:AU14,"E")*8)+($AV$9*8))+IF($AQ$9=1,IF(OR(AQ14="sl",AQ14="v",AQ14="ml",AQ14="e",AQ14="t",AQ14="cl",AQ14="cal"),-8,0))+IF($AR$9=1,IF(OR(AR14="sl",AR14="v",AR14="ml",AR14="e",AR14="t",AR14="cl",AR14="cal"),-8,0))+IF($AS$9=1,IF(OR(AS14="sl",AS14="v",AS14="ml",AS14="e",AS14="t",AS14="cl",AS14="cal"),-8,0))+IF($AT$9=1,IF(OR(AT14="sl",AT14="v",AT14="ml",AT14="e",AT14="t",AT14="cl",AT14="cal"),-8,0))+IF($AU$9=1,IF(OR(AU14="sl",AU14="v",AU14="ml",AU14="e",AU14="t",AU14="cl",AU14="cal"),-8,0)))))</f>
        <v>22</v>
      </c>
      <c r="AW14" s="33">
        <f t="shared" ref="AW14:AW44" si="39">SUMIF(AO$9:AU$9,1,AO14:AU14)</f>
        <v>0</v>
      </c>
      <c r="AX14" s="100">
        <f t="shared" ref="AX14:AX44" si="40">COUNTIF(AO14:AP14,14)+IF(AND($AQ$9=0,AQ14=14),1,0)+IF(AND($AR$9=0,AR14=14),1,0)+IF(AND($AS$9=0,AS14=14),1,0)+IF(AND($AT$9=0,AT14=14),1,0)+IF(AND($AU$9=0,AU14=14),1,0)</f>
        <v>3</v>
      </c>
      <c r="AY14" s="99">
        <f t="shared" ref="AY14:AY44" si="41">IF(AND(AZ14&lt;0,BY14&gt;1),0,IF(AND(AO14="",AP14="",AQ14="",AR14="",AS14="",AT14="",AU14=""),0,IF(AND(AO14="",AP14="",AQ14="",AR14="",AS14="",AT14="",AU14=""),0,SUM(AO14:AU14)-40-AW14)+(COUNTIF(AQ14:AU14,"v")*8)+(COUNTIF(AQ14:AU14,"sl")*8)+(COUNTIF(AQ14:AU14,"ml")*8)+(COUNTIF(AQ14:AU14,"t")*8)+(COUNTIF(AQ14:AU14,"cl")*8)+(COUNTIF(AQ14:AU14,"el")*8)+(COUNTIF(AQ14:AU14,"cal")*8)+(COUNTIF(AQ14:AU14,"E")*8)+($AV$9*8))+IF($AQ$9=1,IF(OR(AQ14="sl",AQ14="v",AQ14="ml",AQ14="e",AQ14="t",AQ14="cl",AQ14="cal"),-8,0))+IF($AR$9=1,IF(OR(AR14="sl",AR14="v",AR14="ml",AR14="e",AR14="t",AR14="cl",AR14="cal"),-8,0))+IF($AS$9=1,IF(OR(AS14="sl",AS14="v",AS14="ml",AS14="e",AS14="t",AS14="cl",AS14="cal"),-8,0))+IF($AT$9=1,IF(OR(AT14="sl",AT14="v",AT14="ml",AT14="e",AT14="t",AT14="cl",AT14="cal"),-8,0))+IF($AU$9=1,IF(OR(AU14="sl",AU14="v",AU14="ml",AU14="e",AU14="t",AU14="cl",AU14="cal"),-8,0)))</f>
        <v>22</v>
      </c>
      <c r="AZ14" s="33">
        <f t="shared" ref="AZ14:AZ44" si="42">IF(AND(AO14="",AP14="",AQ14="",AR14="",AS14="",AT14="",AU14=""),0,IF(AND(AO14="",AP14="",AQ14="",AR14="",AS14="",AT14="",AU14=""),0,SUM(AO14:AU14)-40-AW14)+(COUNTIF(AQ14:AU14,"v")*8)+(COUNTIF(AQ14:AU14,"sl")*8)+(COUNTIF(AQ14:AU14,"ml")*8)+(COUNTIF(AQ14:AU14,"t")*8)+(COUNTIF(AQ14:AU14,"cl")*8)+(COUNTIF(AQ14:AU14,"el")*8)+(COUNTIF(AQ14:AU14,"cal")*8)+(COUNTIF(AQ14:AU14,"E")*8)+($AV$9*8))+IF($AQ$9=1,IF(OR(AQ14="sl",AQ14="v",AQ14="ml",AQ14="e",AQ14="t",AQ14="cl",AQ14="cal"),-8,0))+IF($AR$9=1,IF(OR(AR14="sl",AR14="v",AR14="ml",AR14="e",AR14="t",AR14="cl",AR14="cal"),-8,0))+IF($AS$9=1,IF(OR(AS14="sl",AS14="v",AS14="ml",AS14="e",AS14="t",AS14="cl",AS14="cal"),-8,0))+IF($AT$9=1,IF(OR(AT14="sl",AT14="v",AT14="ml",AT14="e",AT14="t",AT14="cl",AT14="cal"),-8,0))+IF($AU$9=1,IF(OR(AU14="sl",AU14="v",AU14="ml",AU14="e",AU14="t",AU14="cl",AU14="cal"),-8,0))</f>
        <v>22</v>
      </c>
      <c r="BA14" s="56"/>
      <c r="BB14" s="56"/>
      <c r="BC14" s="56"/>
      <c r="BD14" s="56"/>
      <c r="BE14" s="56"/>
      <c r="BF14" s="56"/>
      <c r="BG14" s="56"/>
      <c r="BH14" s="33">
        <f t="shared" ref="BH14:BH44" si="43">IF(AND(BK14&lt;0,BJ14&gt;0),0,(IF(AND(BL14&lt;0,BY14&gt;1),0,IF(AND(BA14="",BB14="",BC14="",BD14="",BE14="",BF14="",BG14=""),0,IF(AND(BA14="",BB14="",BC14="",BD14="",BE14="",BF14="",BG14=""),0,SUM(BA14:BG14)-40-BI14)+(COUNTIF(BC14:BG14,"v")*8)+(COUNTIF(BC14:BG14,"sl")*8)+(COUNTIF(BC14:BG14,"ml")*8)+(COUNTIF(BC14:BG14,"t")*8)+(COUNTIF(BC14:BG14,"cl")*8)+(COUNTIF(BC14:BG14,"el")*8)+(COUNTIF(BC14:BG14,"cal")*8)+(COUNTIF(BC14:BG14,"E")*8)+($BH$9*8))+IF($BC$9=1,IF(OR(BC14="sl",BC14="v",BC14="ml",BC14="e",BC14="t",BC14="cl",BC14="cal"),-8,0))+IF($BD$9=1,IF(OR(BD14="sl",BD14="v",BD14="ml",BD14="e",BD14="t",BD14="cl",BD14="cal"),-8,0))+IF($BE$9=1,IF(OR(BE14="sl",BE14="v",BE14="ml",BE14="e",BE14="t",BE14="cl",BE14="cal"),-8,0))+IF($BF$9=1,IF(OR(BF14="sl",BF14="v",BF14="ml",BF14="e",BF14="t",BF14="cl",BF14="cal"),-8,0))+IF($BG$9=1,IF(OR(BG14="sl",BG14="v",BG14="ml",BG14="e",BG14="t",BG14="cl",BG14="cal"),-8,0)))))</f>
        <v>0</v>
      </c>
      <c r="BI14" s="33">
        <f t="shared" ref="BI14:BI44" si="44">SUMIF(BA$9:BG$9,1,BA14:BG14)</f>
        <v>0</v>
      </c>
      <c r="BJ14" s="100">
        <f t="shared" ref="BJ14:BJ44" si="45">COUNTIF(BA14:BB14,14)+IF(AND($BC$9=0,BC14=14),1,0)+IF(AND($BD$9=0,BD14=14),1,0)+IF(AND($BE$9=0,BE14=14),1,0)+IF(AND($BF$9=0,BF14=14),1,0)+IF(AND($BG$9=0,BG14=14),1,0)</f>
        <v>0</v>
      </c>
      <c r="BK14" s="99">
        <f t="shared" ref="BK14:BK44" si="46">IF(AND(BL14&lt;0,BY14&gt;1),0,IF(AND(BA14="",BB14="",BC14="",BD14="",BE14="",BF14="",BG14=""),0,IF(AND(BA14="",BB14="",BC14="",BD14="",BE14="",BF14="",BG14=""),0,SUM(BA14:BG14)-40-BI14)+(COUNTIF(BC14:BG14,"v")*8)+(COUNTIF(BC14:BG14,"sl")*8)+(COUNTIF(BC14:BG14,"ml")*8)+(COUNTIF(BC14:BG14,"t")*8)+(COUNTIF(BC14:BG14,"cl")*8)+(COUNTIF(BC14:BG14,"el")*8)+(COUNTIF(BC14:BG14,"cal")*8)+(COUNTIF(BC14:BG14,"E")*8)+($BH$9*8))+IF($BC$9=1,IF(OR(BC14="sl",BC14="v",BC14="ml",BC14="e",BC14="t",BC14="cl",BC14="cal"),-8,0))+IF($BD$9=1,IF(OR(BD14="sl",BD14="v",BD14="ml",BD14="e",BD14="t",BD14="cl",BD14="cal"),-8,0))+IF($BE$9=1,IF(OR(BE14="sl",BE14="v",BE14="ml",BE14="e",BE14="t",BE14="cl",BE14="cal"),-8,0))+IF($BF$9=1,IF(OR(BF14="sl",BF14="v",BF14="ml",BF14="e",BF14="t",BF14="cl",BF14="cal"),-8,0))+IF($BG$9=1,IF(OR(BG14="sl",BG14="v",BG14="ml",BG14="e",BG14="t",BG14="cl",BG14="cal"),-8,0)))</f>
        <v>0</v>
      </c>
      <c r="BL14" s="33">
        <f t="shared" ref="BL14:BL44" si="47">IF(AND(BA14="",BB14="",BC14="",BD14="",BE14="",BF14="",BG14=""),0,IF(AND(BA14="",BB14="",BC14="",BD14="",BE14="",BF14="",BG14=""),0,SUM(BA14:BG14)-40-BI14)+(COUNTIF(BC14:BG14,"v")*8)+(COUNTIF(BC14:BG14,"sl")*8)+(COUNTIF(BC14:BG14,"ml")*8)+(COUNTIF(BC14:BG14,"t")*8)+(COUNTIF(BC14:BG14,"cl")*8)+(COUNTIF(BC14:BG14,"el")*8)+(COUNTIF(BC14:BG14,"cal")*8)+(COUNTIF(BC14:BG14,"E")*8)+($BH$9*8))+IF($BC$9=1,IF(OR(BC14="sl",BC14="v",BC14="ml",BC14="e",BC14="t",BC14="cl",BC14="cal"),-8,0))+IF($BD$9=1,IF(OR(BD14="sl",BD14="v",BD14="ml",BD14="e",BD14="t",BD14="cl",BD14="cal"),-8,0))+IF($BE$9=1,IF(OR(BE14="sl",BE14="v",BE14="ml",BE14="e",BE14="t",BE14="cl",BE14="cal"),-8,0))+IF($BF$9=1,IF(OR(BF14="sl",BF14="v",BF14="ml",BF14="e",BF14="t",BF14="cl",BF14="cal"),-8,0))+IF($BG$9=1,IF(OR(BG14="sl",BG14="v",BG14="ml",BG14="e",BG14="t",BG14="cl",BG14="cal"),-8,0))</f>
        <v>0</v>
      </c>
      <c r="BM14" s="39"/>
      <c r="BN14" s="39"/>
      <c r="BO14" s="39"/>
      <c r="BP14" s="39"/>
      <c r="BQ14" s="39"/>
      <c r="BR14" s="39"/>
      <c r="BS14" s="39"/>
      <c r="BT14" s="33">
        <f t="shared" ref="BT14:BT44" si="48">IF(AND(BW14&lt;0,BV14&gt;0),0,(IF(AND(BX14&lt;0,BY14&gt;1),0,IF(AND(BM14="",BN14="",BO14="",BP14="",BQ14="",BR14="",BS14=""),0,IF(AND(BM14="",BN14="",BO14="",BP14="",BQ14="",BR14="",BS14=""),0,SUM(BM14:BS14)-40-BU14)+(COUNTIF(BO14:BS14,"v")*8)+(COUNTIF(BO14:BS14,"sl")*8)+(COUNTIF(BO14:BS14,"ml")*8)+(COUNTIF(BO14:BS14,"t")*8)+(COUNTIF(BO14:BS14,"cl")*8)+(COUNTIF(BO14:BS14,"el")*8)+(COUNTIF(BO14:BS14,"cal")*8)+(COUNTIF(BO14:BS14,"E")*8)+($BT$9*8))+IF($BO$9=1,IF(OR(BO14="sl",BO14="v",BO14="ml",BO14="e",BO14="t",BO14="cl",BO14="cal"),-8,0))+IF($BP$9=1,IF(OR(BP14="sl",BP14="v",BP14="ml",BP14="e",BP14="t",BP14="cl",BP14="cal"),-8,0))+IF($BQ$9=1,IF(OR(BQ14="sl",BQ14="v",BQ14="ml",BQ14="e",BQ14="t",BQ14="cl",BQ14="cal"),-8,0))+IF($BR$9=1,IF(OR(BR14="sl",BR14="v",BR14="ml",BR14="e",BR14="t",BR14="cl",BR14="cal"),-8,0))+IF($BS$9=1,IF(OR(BS14="sl",BS14="v",BS14="ml",BS14="e",BS14="t",BS14="cl",BS14="cal"),-8,0)))))</f>
        <v>0</v>
      </c>
      <c r="BU14" s="33">
        <f t="shared" ref="BU14:BU44" si="49">SUMIF(BM$9:BS$9,1,BM14:BS14)</f>
        <v>0</v>
      </c>
      <c r="BV14" s="100">
        <f t="shared" ref="BV14:BV44" si="50">COUNTIF(BM14:BN14,14)+IF(AND($BO$9=0,BO14=14),1,0)+IF(AND($BP$9=0,BP14=14),1,0)+IF(AND($BQ$9=0,BQ14=14),1,0)+IF(AND($BR$9=0,BR14=14),1,0)+IF(AND($BS$9=0,BS14=14),1,0)</f>
        <v>0</v>
      </c>
      <c r="BW14" s="99">
        <f t="shared" ref="BW14:BW44" si="51">IF(AND(BX14&lt;0,BY14&gt;1),0,IF(AND(BM14="",BN14="",BO14="",BP14="",BQ14="",BR14="",BS14=""),0,IF(AND(BM14="",BN14="",BO14="",BP14="",BQ14="",BR14="",BS14=""),0,SUM(BM14:BS14)-40-BU14)+(COUNTIF(BO14:BS14,"v")*8)+(COUNTIF(BO14:BS14,"sl")*8)+(COUNTIF(BO14:BS14,"ml")*8)+(COUNTIF(BO14:BS14,"t")*8)+(COUNTIF(BO14:BS14,"cl")*8)+(COUNTIF(BO14:BS14,"el")*8)+(COUNTIF(BO14:BS14,"cal")*8)+(COUNTIF(BO14:BS14,"E")*8)+($BT$9*8))+IF($BO$9=1,IF(OR(BO14="sl",BO14="v",BO14="ml",BO14="e",BO14="t",BO14="cl",BO14="cal"),-8,0))+IF($BP$9=1,IF(OR(BP14="sl",BP14="v",BP14="ml",BP14="e",BP14="t",BP14="cl",BP14="cal"),-8,0))+IF($BQ$9=1,IF(OR(BQ14="sl",BQ14="v",BQ14="ml",BQ14="e",BQ14="t",BQ14="cl",BQ14="cal"),-8,0))+IF($BR$9=1,IF(OR(BR14="sl",BR14="v",BR14="ml",BR14="e",BR14="t",BR14="cl",BR14="cal"),-8,0))+IF($BS$9=1,IF(OR(BS14="sl",BS14="v",BS14="ml",BS14="e",BS14="t",BS14="cl",BS14="cal"),-8,0)))</f>
        <v>0</v>
      </c>
      <c r="BX14" s="33">
        <f t="shared" ref="BX14:BX44" si="52">IF(AND(BM14="",BN14="",BO14="",BP14="",BQ14="",BR14="",BS14=""),0,IF(AND(BM14="",BN14="",BO14="",BP14="",BQ14="",BR14="",BS14=""),0,SUM(BM14:BS14)-40-BU14)+(COUNTIF(BO14:BS14,"v")*8)+(COUNTIF(BO14:BS14,"sl")*8)+(COUNTIF(BO14:BS14,"ml")*8)+(COUNTIF(BO14:BS14,"t")*8)+(COUNTIF(BO14:BS14,"cl")*8)+(COUNTIF(BO14:BS14,"el")*8)+(COUNTIF(BO14:BS14,"cal")*8)+(COUNTIF(BO14:BS14,"E")*8)+($BT$9*8))+IF($BO$9=1,IF(OR(BO14="sl",BO14="v",BO14="ml",BO14="e",BO14="t",BO14="cl",BO14="cal"),-8,0))+IF($BP$9=1,IF(OR(BP14="sl",BP14="v",BP14="ml",BP14="e",BP14="t",BP14="cl",BP14="cal"),-8,0))+IF($BQ$9=1,IF(OR(BQ14="sl",BQ14="v",BQ14="ml",BQ14="e",BQ14="t",BQ14="cl",BQ14="cal"),-8,0))+IF($BR$9=1,IF(OR(BR14="sl",BR14="v",BR14="ml",BR14="e",BR14="t",BR14="cl",BR14="cal"),-8,0))+IF($BS$9=1,IF(OR(BS14="sl",BS14="v",BS14="ml",BS14="e",BS14="t",BS14="cl",BS14="cal"),-8,0))</f>
        <v>0</v>
      </c>
      <c r="BY14" s="98">
        <f t="shared" ref="BY14:BY44" si="53">SUM(N14,Z14,AL14,AX14,BJ14,BV14)</f>
        <v>6</v>
      </c>
      <c r="BZ14" s="36">
        <f t="shared" ref="BZ14:BZ44" si="54">IF(SUM(AV14,BH14,AJ14,X14,L14,BT14)&lt;0,0,SUM(AV14,BH14,AJ14,X14,L14,BT14))</f>
        <v>75</v>
      </c>
      <c r="CA14" s="37">
        <f t="shared" ref="CA14:CA44" si="55">SUM(AW14,BI14,AK14,Y14,M14,BU14)</f>
        <v>0</v>
      </c>
      <c r="CB14" s="38">
        <f t="shared" ref="CB14:CB44" si="56">(BZ14*CC14)+(CA14*CD14)</f>
        <v>104103.54248798078</v>
      </c>
      <c r="CC14" s="10">
        <f>D14*12/2080*1.5</f>
        <v>1388.0472331730771</v>
      </c>
      <c r="CD14" s="11">
        <f>D14*12/2080*2</f>
        <v>1850.7296442307693</v>
      </c>
    </row>
    <row r="15" spans="1:82" s="1" customFormat="1" ht="16.5" customHeight="1">
      <c r="A15" s="53"/>
      <c r="B15" s="54">
        <v>3</v>
      </c>
      <c r="C15" s="55">
        <v>18004409</v>
      </c>
      <c r="D15" s="96">
        <f>IF(C15="",0,VLOOKUP(C15,Conf!A:D,4,FALSE))</f>
        <v>195777.23083333333</v>
      </c>
      <c r="E15" s="56">
        <v>0</v>
      </c>
      <c r="F15" s="56">
        <v>0</v>
      </c>
      <c r="G15" s="56" t="s">
        <v>101</v>
      </c>
      <c r="H15" s="56" t="s">
        <v>101</v>
      </c>
      <c r="I15" s="56" t="s">
        <v>101</v>
      </c>
      <c r="J15" s="56" t="s">
        <v>101</v>
      </c>
      <c r="K15" s="56" t="s">
        <v>101</v>
      </c>
      <c r="L15" s="33">
        <f t="shared" si="23"/>
        <v>0</v>
      </c>
      <c r="M15" s="33">
        <f t="shared" si="24"/>
        <v>0</v>
      </c>
      <c r="N15" s="100">
        <f t="shared" si="25"/>
        <v>0</v>
      </c>
      <c r="O15" s="99">
        <f t="shared" si="26"/>
        <v>0</v>
      </c>
      <c r="P15" s="33">
        <f t="shared" si="27"/>
        <v>0</v>
      </c>
      <c r="Q15" s="56">
        <v>0</v>
      </c>
      <c r="R15" s="56">
        <v>0</v>
      </c>
      <c r="S15" s="56" t="s">
        <v>101</v>
      </c>
      <c r="T15" s="56" t="s">
        <v>101</v>
      </c>
      <c r="U15" s="56" t="s">
        <v>101</v>
      </c>
      <c r="V15" s="56" t="s">
        <v>101</v>
      </c>
      <c r="W15" s="56" t="s">
        <v>101</v>
      </c>
      <c r="X15" s="33">
        <f t="shared" si="28"/>
        <v>0</v>
      </c>
      <c r="Y15" s="33">
        <f t="shared" si="29"/>
        <v>0</v>
      </c>
      <c r="Z15" s="100">
        <f t="shared" si="30"/>
        <v>0</v>
      </c>
      <c r="AA15" s="99">
        <f t="shared" si="31"/>
        <v>0</v>
      </c>
      <c r="AB15" s="33">
        <f t="shared" si="32"/>
        <v>0</v>
      </c>
      <c r="AC15" s="56">
        <v>0</v>
      </c>
      <c r="AD15" s="56">
        <v>0</v>
      </c>
      <c r="AE15" s="56">
        <v>7</v>
      </c>
      <c r="AF15" s="56">
        <v>7</v>
      </c>
      <c r="AG15" s="56">
        <v>7</v>
      </c>
      <c r="AH15" s="56">
        <v>7</v>
      </c>
      <c r="AI15" s="56">
        <v>10</v>
      </c>
      <c r="AJ15" s="33">
        <f t="shared" si="33"/>
        <v>0</v>
      </c>
      <c r="AK15" s="33">
        <f t="shared" si="34"/>
        <v>0</v>
      </c>
      <c r="AL15" s="100">
        <f t="shared" si="35"/>
        <v>0</v>
      </c>
      <c r="AM15" s="99">
        <f t="shared" si="36"/>
        <v>0</v>
      </c>
      <c r="AN15" s="33">
        <f t="shared" si="37"/>
        <v>-2</v>
      </c>
      <c r="AO15" s="56">
        <v>0</v>
      </c>
      <c r="AP15" s="56">
        <v>14</v>
      </c>
      <c r="AQ15" s="56">
        <v>10</v>
      </c>
      <c r="AR15" s="56">
        <v>0</v>
      </c>
      <c r="AS15" s="56">
        <v>14</v>
      </c>
      <c r="AT15" s="56">
        <v>10</v>
      </c>
      <c r="AU15" s="56">
        <v>0</v>
      </c>
      <c r="AV15" s="33">
        <f t="shared" si="38"/>
        <v>8</v>
      </c>
      <c r="AW15" s="33">
        <f t="shared" si="39"/>
        <v>0</v>
      </c>
      <c r="AX15" s="100">
        <f t="shared" si="40"/>
        <v>2</v>
      </c>
      <c r="AY15" s="99">
        <f t="shared" si="41"/>
        <v>8</v>
      </c>
      <c r="AZ15" s="33">
        <f t="shared" si="42"/>
        <v>8</v>
      </c>
      <c r="BA15" s="56"/>
      <c r="BB15" s="56"/>
      <c r="BC15" s="56"/>
      <c r="BD15" s="56"/>
      <c r="BE15" s="56"/>
      <c r="BF15" s="56"/>
      <c r="BG15" s="56"/>
      <c r="BH15" s="33">
        <f t="shared" si="43"/>
        <v>0</v>
      </c>
      <c r="BI15" s="33">
        <f t="shared" si="44"/>
        <v>0</v>
      </c>
      <c r="BJ15" s="100">
        <f t="shared" si="45"/>
        <v>0</v>
      </c>
      <c r="BK15" s="99">
        <f t="shared" si="46"/>
        <v>0</v>
      </c>
      <c r="BL15" s="33">
        <f t="shared" si="47"/>
        <v>0</v>
      </c>
      <c r="BM15" s="39"/>
      <c r="BN15" s="39"/>
      <c r="BO15" s="39"/>
      <c r="BP15" s="39"/>
      <c r="BQ15" s="39"/>
      <c r="BR15" s="39"/>
      <c r="BS15" s="39"/>
      <c r="BT15" s="33">
        <f t="shared" si="48"/>
        <v>0</v>
      </c>
      <c r="BU15" s="33">
        <f t="shared" si="49"/>
        <v>0</v>
      </c>
      <c r="BV15" s="100">
        <f t="shared" si="50"/>
        <v>0</v>
      </c>
      <c r="BW15" s="99">
        <f t="shared" si="51"/>
        <v>0</v>
      </c>
      <c r="BX15" s="33">
        <f t="shared" si="52"/>
        <v>0</v>
      </c>
      <c r="BY15" s="98">
        <f t="shared" si="53"/>
        <v>2</v>
      </c>
      <c r="BZ15" s="36">
        <f t="shared" si="54"/>
        <v>8</v>
      </c>
      <c r="CA15" s="37">
        <f t="shared" si="55"/>
        <v>0</v>
      </c>
      <c r="CB15" s="38">
        <f t="shared" si="56"/>
        <v>13553.808288461538</v>
      </c>
      <c r="CC15" s="10">
        <f>D15*12/2080*1.5</f>
        <v>1694.2260360576922</v>
      </c>
      <c r="CD15" s="11">
        <f>D15*12/2080*2</f>
        <v>2258.968048076923</v>
      </c>
    </row>
    <row r="16" spans="1:82" s="1" customFormat="1" ht="16.5" customHeight="1">
      <c r="A16" s="53"/>
      <c r="B16" s="54">
        <v>3</v>
      </c>
      <c r="C16" s="55">
        <v>18004523</v>
      </c>
      <c r="D16" s="96">
        <f>IF(C16="",0,VLOOKUP(C16,Conf!A:D,4,FALSE))</f>
        <v>196924.56499999997</v>
      </c>
      <c r="E16" s="56">
        <v>10</v>
      </c>
      <c r="F16" s="56">
        <v>7</v>
      </c>
      <c r="G16" s="56">
        <v>10</v>
      </c>
      <c r="H16" s="56">
        <v>10</v>
      </c>
      <c r="I16" s="56">
        <v>10</v>
      </c>
      <c r="J16" s="56">
        <v>10</v>
      </c>
      <c r="K16" s="56">
        <v>10</v>
      </c>
      <c r="L16" s="33">
        <f t="shared" si="23"/>
        <v>27</v>
      </c>
      <c r="M16" s="33">
        <f t="shared" si="24"/>
        <v>0</v>
      </c>
      <c r="N16" s="100">
        <f t="shared" si="25"/>
        <v>0</v>
      </c>
      <c r="O16" s="99">
        <f t="shared" si="26"/>
        <v>27</v>
      </c>
      <c r="P16" s="33">
        <f t="shared" si="27"/>
        <v>27</v>
      </c>
      <c r="Q16" s="56">
        <v>10</v>
      </c>
      <c r="R16" s="56">
        <v>7</v>
      </c>
      <c r="S16" s="56">
        <v>0</v>
      </c>
      <c r="T16" s="56">
        <v>14</v>
      </c>
      <c r="U16" s="56">
        <v>10</v>
      </c>
      <c r="V16" s="56">
        <v>0</v>
      </c>
      <c r="W16" s="56">
        <v>14</v>
      </c>
      <c r="X16" s="33">
        <f t="shared" si="28"/>
        <v>15</v>
      </c>
      <c r="Y16" s="33">
        <f t="shared" si="29"/>
        <v>0</v>
      </c>
      <c r="Z16" s="100">
        <f t="shared" si="30"/>
        <v>2</v>
      </c>
      <c r="AA16" s="99">
        <f t="shared" si="31"/>
        <v>15</v>
      </c>
      <c r="AB16" s="33">
        <f t="shared" si="32"/>
        <v>15</v>
      </c>
      <c r="AC16" s="56">
        <v>10</v>
      </c>
      <c r="AD16" s="56">
        <v>0</v>
      </c>
      <c r="AE16" s="56">
        <v>10</v>
      </c>
      <c r="AF16" s="56">
        <v>10</v>
      </c>
      <c r="AG16" s="56">
        <v>0</v>
      </c>
      <c r="AH16" s="56">
        <v>0</v>
      </c>
      <c r="AI16" s="56">
        <v>7</v>
      </c>
      <c r="AJ16" s="33">
        <f t="shared" si="33"/>
        <v>0</v>
      </c>
      <c r="AK16" s="33">
        <f t="shared" si="34"/>
        <v>0</v>
      </c>
      <c r="AL16" s="100">
        <f t="shared" si="35"/>
        <v>0</v>
      </c>
      <c r="AM16" s="99">
        <f t="shared" si="36"/>
        <v>0</v>
      </c>
      <c r="AN16" s="33">
        <f t="shared" si="37"/>
        <v>-3</v>
      </c>
      <c r="AO16" s="56">
        <v>0</v>
      </c>
      <c r="AP16" s="56">
        <v>0</v>
      </c>
      <c r="AQ16" s="56" t="s">
        <v>101</v>
      </c>
      <c r="AR16" s="56" t="s">
        <v>101</v>
      </c>
      <c r="AS16" s="56" t="s">
        <v>101</v>
      </c>
      <c r="AT16" s="56" t="s">
        <v>101</v>
      </c>
      <c r="AU16" s="56" t="s">
        <v>101</v>
      </c>
      <c r="AV16" s="33">
        <f t="shared" si="38"/>
        <v>0</v>
      </c>
      <c r="AW16" s="33">
        <f t="shared" si="39"/>
        <v>0</v>
      </c>
      <c r="AX16" s="100">
        <f t="shared" si="40"/>
        <v>0</v>
      </c>
      <c r="AY16" s="99">
        <f t="shared" si="41"/>
        <v>0</v>
      </c>
      <c r="AZ16" s="33">
        <f t="shared" si="42"/>
        <v>0</v>
      </c>
      <c r="BA16" s="56"/>
      <c r="BB16" s="56"/>
      <c r="BC16" s="56"/>
      <c r="BD16" s="56"/>
      <c r="BE16" s="56"/>
      <c r="BF16" s="56"/>
      <c r="BG16" s="56"/>
      <c r="BH16" s="33">
        <f t="shared" si="43"/>
        <v>0</v>
      </c>
      <c r="BI16" s="33">
        <f t="shared" si="44"/>
        <v>0</v>
      </c>
      <c r="BJ16" s="100">
        <f t="shared" si="45"/>
        <v>0</v>
      </c>
      <c r="BK16" s="99">
        <f t="shared" si="46"/>
        <v>0</v>
      </c>
      <c r="BL16" s="33">
        <f t="shared" si="47"/>
        <v>0</v>
      </c>
      <c r="BM16" s="39"/>
      <c r="BN16" s="39"/>
      <c r="BO16" s="39"/>
      <c r="BP16" s="39"/>
      <c r="BQ16" s="39"/>
      <c r="BR16" s="39"/>
      <c r="BS16" s="39"/>
      <c r="BT16" s="33">
        <f t="shared" si="48"/>
        <v>0</v>
      </c>
      <c r="BU16" s="33">
        <f t="shared" si="49"/>
        <v>0</v>
      </c>
      <c r="BV16" s="100">
        <f t="shared" si="50"/>
        <v>0</v>
      </c>
      <c r="BW16" s="99">
        <f t="shared" si="51"/>
        <v>0</v>
      </c>
      <c r="BX16" s="33">
        <f t="shared" si="52"/>
        <v>0</v>
      </c>
      <c r="BY16" s="98">
        <f t="shared" si="53"/>
        <v>2</v>
      </c>
      <c r="BZ16" s="36">
        <f t="shared" si="54"/>
        <v>42</v>
      </c>
      <c r="CA16" s="37">
        <f t="shared" si="55"/>
        <v>0</v>
      </c>
      <c r="CB16" s="38">
        <f t="shared" si="56"/>
        <v>71574.50535576923</v>
      </c>
      <c r="CC16" s="10">
        <f>D16*12/2080*1.5</f>
        <v>1704.1548894230768</v>
      </c>
      <c r="CD16" s="11">
        <f>D16*12/2080*2</f>
        <v>2272.2065192307691</v>
      </c>
    </row>
    <row r="17" spans="1:82" s="1" customFormat="1" ht="16.5" customHeight="1">
      <c r="A17" s="53"/>
      <c r="B17" s="54">
        <v>3</v>
      </c>
      <c r="C17" s="55">
        <v>18004133</v>
      </c>
      <c r="D17" s="96">
        <f>IF(C17="",0,VLOOKUP(C17,Conf!A:D,4,FALSE))</f>
        <v>170107.77833333335</v>
      </c>
      <c r="E17" s="56">
        <v>10</v>
      </c>
      <c r="F17" s="56">
        <v>7</v>
      </c>
      <c r="G17" s="56">
        <v>10</v>
      </c>
      <c r="H17" s="56">
        <v>10</v>
      </c>
      <c r="I17" s="56">
        <v>10</v>
      </c>
      <c r="J17" s="56">
        <v>10</v>
      </c>
      <c r="K17" s="56">
        <v>10</v>
      </c>
      <c r="L17" s="33">
        <f t="shared" si="23"/>
        <v>27</v>
      </c>
      <c r="M17" s="33">
        <f t="shared" si="24"/>
        <v>0</v>
      </c>
      <c r="N17" s="100">
        <f t="shared" si="25"/>
        <v>0</v>
      </c>
      <c r="O17" s="99">
        <f t="shared" si="26"/>
        <v>27</v>
      </c>
      <c r="P17" s="33">
        <f t="shared" si="27"/>
        <v>27</v>
      </c>
      <c r="Q17" s="56">
        <v>10</v>
      </c>
      <c r="R17" s="56">
        <v>7</v>
      </c>
      <c r="S17" s="56">
        <v>7</v>
      </c>
      <c r="T17" s="56">
        <v>7</v>
      </c>
      <c r="U17" s="56">
        <v>10</v>
      </c>
      <c r="V17" s="56">
        <v>0</v>
      </c>
      <c r="W17" s="56">
        <v>14</v>
      </c>
      <c r="X17" s="33">
        <f t="shared" si="28"/>
        <v>15</v>
      </c>
      <c r="Y17" s="33">
        <f t="shared" si="29"/>
        <v>0</v>
      </c>
      <c r="Z17" s="100">
        <f t="shared" si="30"/>
        <v>1</v>
      </c>
      <c r="AA17" s="99">
        <f t="shared" si="31"/>
        <v>15</v>
      </c>
      <c r="AB17" s="33">
        <f t="shared" si="32"/>
        <v>15</v>
      </c>
      <c r="AC17" s="56">
        <v>10</v>
      </c>
      <c r="AD17" s="56">
        <v>0</v>
      </c>
      <c r="AE17" s="56">
        <v>14</v>
      </c>
      <c r="AF17" s="56">
        <v>10</v>
      </c>
      <c r="AG17" s="56">
        <v>0</v>
      </c>
      <c r="AH17" s="56">
        <v>14</v>
      </c>
      <c r="AI17" s="56">
        <v>10</v>
      </c>
      <c r="AJ17" s="33">
        <f t="shared" si="33"/>
        <v>18</v>
      </c>
      <c r="AK17" s="33">
        <f t="shared" si="34"/>
        <v>0</v>
      </c>
      <c r="AL17" s="100">
        <f t="shared" si="35"/>
        <v>2</v>
      </c>
      <c r="AM17" s="99">
        <f t="shared" si="36"/>
        <v>18</v>
      </c>
      <c r="AN17" s="33">
        <f t="shared" si="37"/>
        <v>18</v>
      </c>
      <c r="AO17" s="56">
        <v>0</v>
      </c>
      <c r="AP17" s="56">
        <v>14</v>
      </c>
      <c r="AQ17" s="56">
        <v>7</v>
      </c>
      <c r="AR17" s="56">
        <v>7</v>
      </c>
      <c r="AS17" s="56">
        <v>7</v>
      </c>
      <c r="AT17" s="56">
        <v>10</v>
      </c>
      <c r="AU17" s="56">
        <v>10</v>
      </c>
      <c r="AV17" s="33">
        <f t="shared" si="38"/>
        <v>15</v>
      </c>
      <c r="AW17" s="33">
        <f t="shared" si="39"/>
        <v>0</v>
      </c>
      <c r="AX17" s="100">
        <f t="shared" si="40"/>
        <v>1</v>
      </c>
      <c r="AY17" s="99">
        <f t="shared" si="41"/>
        <v>15</v>
      </c>
      <c r="AZ17" s="33">
        <f t="shared" si="42"/>
        <v>15</v>
      </c>
      <c r="BA17" s="56"/>
      <c r="BB17" s="56"/>
      <c r="BC17" s="56"/>
      <c r="BD17" s="56"/>
      <c r="BE17" s="56"/>
      <c r="BF17" s="56"/>
      <c r="BG17" s="56"/>
      <c r="BH17" s="33">
        <f t="shared" si="43"/>
        <v>0</v>
      </c>
      <c r="BI17" s="33">
        <f t="shared" si="44"/>
        <v>0</v>
      </c>
      <c r="BJ17" s="100">
        <f t="shared" si="45"/>
        <v>0</v>
      </c>
      <c r="BK17" s="99">
        <f t="shared" si="46"/>
        <v>0</v>
      </c>
      <c r="BL17" s="33">
        <f t="shared" si="47"/>
        <v>0</v>
      </c>
      <c r="BM17" s="39"/>
      <c r="BN17" s="39"/>
      <c r="BO17" s="39"/>
      <c r="BP17" s="39"/>
      <c r="BQ17" s="39"/>
      <c r="BR17" s="39"/>
      <c r="BS17" s="39"/>
      <c r="BT17" s="33">
        <f t="shared" si="48"/>
        <v>0</v>
      </c>
      <c r="BU17" s="33">
        <f t="shared" si="49"/>
        <v>0</v>
      </c>
      <c r="BV17" s="100">
        <f t="shared" si="50"/>
        <v>0</v>
      </c>
      <c r="BW17" s="99">
        <f t="shared" si="51"/>
        <v>0</v>
      </c>
      <c r="BX17" s="33">
        <f t="shared" si="52"/>
        <v>0</v>
      </c>
      <c r="BY17" s="98">
        <f t="shared" si="53"/>
        <v>4</v>
      </c>
      <c r="BZ17" s="36">
        <f t="shared" si="54"/>
        <v>75</v>
      </c>
      <c r="CA17" s="37">
        <f t="shared" si="55"/>
        <v>0</v>
      </c>
      <c r="CB17" s="38">
        <f t="shared" si="56"/>
        <v>110406.49074519232</v>
      </c>
      <c r="CC17" s="10">
        <f t="shared" ref="CC17:CC25" si="57">D17*12/2080*1.5</f>
        <v>1472.086543269231</v>
      </c>
      <c r="CD17" s="11">
        <f t="shared" ref="CD17:CD25" si="58">D17*12/2080*2</f>
        <v>1962.7820576923079</v>
      </c>
    </row>
    <row r="18" spans="1:82" s="1" customFormat="1" ht="16.5" customHeight="1">
      <c r="A18" s="53"/>
      <c r="B18" s="54">
        <v>3</v>
      </c>
      <c r="C18" s="55">
        <v>18004329</v>
      </c>
      <c r="D18" s="96">
        <f>IF(C18="",0,VLOOKUP(C18,Conf!A:D,4,FALSE))</f>
        <v>194014.35166666668</v>
      </c>
      <c r="E18" s="56">
        <v>0</v>
      </c>
      <c r="F18" s="56">
        <v>0</v>
      </c>
      <c r="G18" s="56" t="s">
        <v>101</v>
      </c>
      <c r="H18" s="56" t="s">
        <v>101</v>
      </c>
      <c r="I18" s="56" t="s">
        <v>101</v>
      </c>
      <c r="J18" s="56" t="s">
        <v>101</v>
      </c>
      <c r="K18" s="56" t="s">
        <v>101</v>
      </c>
      <c r="L18" s="33">
        <f t="shared" si="23"/>
        <v>0</v>
      </c>
      <c r="M18" s="33">
        <f t="shared" si="24"/>
        <v>0</v>
      </c>
      <c r="N18" s="100">
        <f t="shared" si="25"/>
        <v>0</v>
      </c>
      <c r="O18" s="99">
        <f t="shared" si="26"/>
        <v>0</v>
      </c>
      <c r="P18" s="33">
        <f t="shared" si="27"/>
        <v>0</v>
      </c>
      <c r="Q18" s="56">
        <v>0</v>
      </c>
      <c r="R18" s="56">
        <v>0</v>
      </c>
      <c r="S18" s="56" t="s">
        <v>101</v>
      </c>
      <c r="T18" s="56" t="s">
        <v>101</v>
      </c>
      <c r="U18" s="56" t="s">
        <v>101</v>
      </c>
      <c r="V18" s="56" t="s">
        <v>101</v>
      </c>
      <c r="W18" s="56" t="s">
        <v>101</v>
      </c>
      <c r="X18" s="33">
        <f t="shared" si="28"/>
        <v>0</v>
      </c>
      <c r="Y18" s="33">
        <f t="shared" si="29"/>
        <v>0</v>
      </c>
      <c r="Z18" s="100">
        <f t="shared" si="30"/>
        <v>0</v>
      </c>
      <c r="AA18" s="99">
        <f t="shared" si="31"/>
        <v>0</v>
      </c>
      <c r="AB18" s="33">
        <f t="shared" si="32"/>
        <v>0</v>
      </c>
      <c r="AC18" s="56">
        <v>0</v>
      </c>
      <c r="AD18" s="56">
        <v>0</v>
      </c>
      <c r="AE18" s="56" t="s">
        <v>101</v>
      </c>
      <c r="AF18" s="56" t="s">
        <v>101</v>
      </c>
      <c r="AG18" s="56" t="s">
        <v>101</v>
      </c>
      <c r="AH18" s="56" t="s">
        <v>101</v>
      </c>
      <c r="AI18" s="56" t="s">
        <v>101</v>
      </c>
      <c r="AJ18" s="33">
        <f t="shared" si="33"/>
        <v>0</v>
      </c>
      <c r="AK18" s="33">
        <f t="shared" si="34"/>
        <v>0</v>
      </c>
      <c r="AL18" s="100">
        <f t="shared" si="35"/>
        <v>0</v>
      </c>
      <c r="AM18" s="99">
        <f t="shared" si="36"/>
        <v>0</v>
      </c>
      <c r="AN18" s="33">
        <f t="shared" si="37"/>
        <v>0</v>
      </c>
      <c r="AO18" s="56">
        <v>0</v>
      </c>
      <c r="AP18" s="56">
        <v>0</v>
      </c>
      <c r="AQ18" s="56">
        <v>10</v>
      </c>
      <c r="AR18" s="56">
        <v>0</v>
      </c>
      <c r="AS18" s="56">
        <v>0</v>
      </c>
      <c r="AT18" s="56">
        <v>7</v>
      </c>
      <c r="AU18" s="56">
        <v>7</v>
      </c>
      <c r="AV18" s="33">
        <f t="shared" si="38"/>
        <v>-16</v>
      </c>
      <c r="AW18" s="33">
        <f t="shared" si="39"/>
        <v>0</v>
      </c>
      <c r="AX18" s="100">
        <f t="shared" si="40"/>
        <v>0</v>
      </c>
      <c r="AY18" s="99">
        <f t="shared" si="41"/>
        <v>-16</v>
      </c>
      <c r="AZ18" s="33">
        <f t="shared" si="42"/>
        <v>-16</v>
      </c>
      <c r="BA18" s="56"/>
      <c r="BB18" s="56"/>
      <c r="BC18" s="56"/>
      <c r="BD18" s="56"/>
      <c r="BE18" s="56"/>
      <c r="BF18" s="56"/>
      <c r="BG18" s="56"/>
      <c r="BH18" s="33">
        <f t="shared" si="43"/>
        <v>0</v>
      </c>
      <c r="BI18" s="33">
        <f t="shared" si="44"/>
        <v>0</v>
      </c>
      <c r="BJ18" s="100">
        <f t="shared" si="45"/>
        <v>0</v>
      </c>
      <c r="BK18" s="99">
        <f t="shared" si="46"/>
        <v>0</v>
      </c>
      <c r="BL18" s="33">
        <f t="shared" si="47"/>
        <v>0</v>
      </c>
      <c r="BM18" s="39"/>
      <c r="BN18" s="39"/>
      <c r="BO18" s="39"/>
      <c r="BP18" s="39"/>
      <c r="BQ18" s="39"/>
      <c r="BR18" s="39"/>
      <c r="BS18" s="39"/>
      <c r="BT18" s="33">
        <f t="shared" si="48"/>
        <v>0</v>
      </c>
      <c r="BU18" s="33">
        <f t="shared" si="49"/>
        <v>0</v>
      </c>
      <c r="BV18" s="100">
        <f t="shared" si="50"/>
        <v>0</v>
      </c>
      <c r="BW18" s="99">
        <f t="shared" si="51"/>
        <v>0</v>
      </c>
      <c r="BX18" s="33">
        <f t="shared" si="52"/>
        <v>0</v>
      </c>
      <c r="BY18" s="98">
        <f t="shared" si="53"/>
        <v>0</v>
      </c>
      <c r="BZ18" s="36">
        <f t="shared" si="54"/>
        <v>0</v>
      </c>
      <c r="CA18" s="37">
        <f t="shared" si="55"/>
        <v>0</v>
      </c>
      <c r="CB18" s="38">
        <f t="shared" si="56"/>
        <v>0</v>
      </c>
      <c r="CC18" s="10">
        <f>D18*12/2080*1.5</f>
        <v>1678.9703509615388</v>
      </c>
      <c r="CD18" s="11">
        <f>D18*12/2080*2</f>
        <v>2238.6271346153849</v>
      </c>
    </row>
    <row r="19" spans="1:82" s="1" customFormat="1" ht="16.5" customHeight="1">
      <c r="A19" s="53"/>
      <c r="B19" s="54">
        <v>3</v>
      </c>
      <c r="C19" s="55">
        <v>18000601</v>
      </c>
      <c r="D19" s="96">
        <f>IF(C19="",0,VLOOKUP(C19,Conf!A:D,4,FALSE))</f>
        <v>250626.87749999997</v>
      </c>
      <c r="E19" s="56">
        <v>0</v>
      </c>
      <c r="F19" s="56">
        <v>0</v>
      </c>
      <c r="G19" s="56">
        <v>10</v>
      </c>
      <c r="H19" s="56">
        <v>10</v>
      </c>
      <c r="I19" s="56">
        <v>10</v>
      </c>
      <c r="J19" s="56">
        <v>10</v>
      </c>
      <c r="K19" s="56">
        <v>10</v>
      </c>
      <c r="L19" s="33">
        <f t="shared" si="23"/>
        <v>10</v>
      </c>
      <c r="M19" s="33">
        <f t="shared" si="24"/>
        <v>0</v>
      </c>
      <c r="N19" s="100">
        <f t="shared" si="25"/>
        <v>0</v>
      </c>
      <c r="O19" s="99">
        <f t="shared" si="26"/>
        <v>10</v>
      </c>
      <c r="P19" s="33">
        <f t="shared" si="27"/>
        <v>10</v>
      </c>
      <c r="Q19" s="56">
        <v>10</v>
      </c>
      <c r="R19" s="56">
        <v>0</v>
      </c>
      <c r="S19" s="56">
        <v>7</v>
      </c>
      <c r="T19" s="56">
        <v>7</v>
      </c>
      <c r="U19" s="56">
        <v>14</v>
      </c>
      <c r="V19" s="56">
        <v>10</v>
      </c>
      <c r="W19" s="56">
        <v>0</v>
      </c>
      <c r="X19" s="33">
        <f t="shared" si="28"/>
        <v>8</v>
      </c>
      <c r="Y19" s="33">
        <f t="shared" si="29"/>
        <v>0</v>
      </c>
      <c r="Z19" s="100">
        <f t="shared" si="30"/>
        <v>1</v>
      </c>
      <c r="AA19" s="99">
        <f t="shared" si="31"/>
        <v>8</v>
      </c>
      <c r="AB19" s="33">
        <f t="shared" si="32"/>
        <v>8</v>
      </c>
      <c r="AC19" s="56">
        <v>14</v>
      </c>
      <c r="AD19" s="56">
        <v>10</v>
      </c>
      <c r="AE19" s="56">
        <v>0</v>
      </c>
      <c r="AF19" s="56">
        <v>14</v>
      </c>
      <c r="AG19" s="56">
        <v>10</v>
      </c>
      <c r="AH19" s="56">
        <v>0</v>
      </c>
      <c r="AI19" s="56">
        <v>14</v>
      </c>
      <c r="AJ19" s="33">
        <f t="shared" si="33"/>
        <v>22</v>
      </c>
      <c r="AK19" s="33">
        <f t="shared" si="34"/>
        <v>0</v>
      </c>
      <c r="AL19" s="100">
        <f t="shared" si="35"/>
        <v>3</v>
      </c>
      <c r="AM19" s="99">
        <f t="shared" si="36"/>
        <v>22</v>
      </c>
      <c r="AN19" s="33">
        <f t="shared" si="37"/>
        <v>22</v>
      </c>
      <c r="AO19" s="56">
        <v>10</v>
      </c>
      <c r="AP19" s="56">
        <v>0</v>
      </c>
      <c r="AQ19" s="56">
        <v>7</v>
      </c>
      <c r="AR19" s="56">
        <v>7</v>
      </c>
      <c r="AS19" s="56">
        <v>7</v>
      </c>
      <c r="AT19" s="56">
        <v>7</v>
      </c>
      <c r="AU19" s="56">
        <v>7</v>
      </c>
      <c r="AV19" s="33">
        <f t="shared" si="38"/>
        <v>5</v>
      </c>
      <c r="AW19" s="33">
        <f t="shared" si="39"/>
        <v>0</v>
      </c>
      <c r="AX19" s="100">
        <f t="shared" si="40"/>
        <v>0</v>
      </c>
      <c r="AY19" s="99">
        <f t="shared" si="41"/>
        <v>5</v>
      </c>
      <c r="AZ19" s="33">
        <f t="shared" si="42"/>
        <v>5</v>
      </c>
      <c r="BA19" s="56"/>
      <c r="BB19" s="56"/>
      <c r="BC19" s="56"/>
      <c r="BD19" s="56"/>
      <c r="BE19" s="56"/>
      <c r="BF19" s="56"/>
      <c r="BG19" s="56"/>
      <c r="BH19" s="33">
        <f t="shared" si="43"/>
        <v>0</v>
      </c>
      <c r="BI19" s="33">
        <f t="shared" si="44"/>
        <v>0</v>
      </c>
      <c r="BJ19" s="100">
        <f t="shared" si="45"/>
        <v>0</v>
      </c>
      <c r="BK19" s="99">
        <f t="shared" si="46"/>
        <v>0</v>
      </c>
      <c r="BL19" s="33">
        <f t="shared" si="47"/>
        <v>0</v>
      </c>
      <c r="BM19" s="39"/>
      <c r="BN19" s="39"/>
      <c r="BO19" s="39"/>
      <c r="BP19" s="39"/>
      <c r="BQ19" s="39"/>
      <c r="BR19" s="39"/>
      <c r="BS19" s="39"/>
      <c r="BT19" s="33">
        <f t="shared" si="48"/>
        <v>0</v>
      </c>
      <c r="BU19" s="33">
        <f t="shared" si="49"/>
        <v>0</v>
      </c>
      <c r="BV19" s="100">
        <f t="shared" si="50"/>
        <v>0</v>
      </c>
      <c r="BW19" s="99">
        <f t="shared" si="51"/>
        <v>0</v>
      </c>
      <c r="BX19" s="33">
        <f t="shared" si="52"/>
        <v>0</v>
      </c>
      <c r="BY19" s="98">
        <f t="shared" si="53"/>
        <v>4</v>
      </c>
      <c r="BZ19" s="36">
        <f t="shared" si="54"/>
        <v>45</v>
      </c>
      <c r="CA19" s="37">
        <f t="shared" si="55"/>
        <v>0</v>
      </c>
      <c r="CB19" s="38">
        <f t="shared" si="56"/>
        <v>97599.88979567308</v>
      </c>
      <c r="CC19" s="10">
        <f t="shared" si="57"/>
        <v>2168.8864399038462</v>
      </c>
      <c r="CD19" s="11">
        <f t="shared" si="58"/>
        <v>2891.8485865384614</v>
      </c>
    </row>
    <row r="20" spans="1:82" s="1" customFormat="1" ht="16.5" customHeight="1">
      <c r="A20" s="53"/>
      <c r="B20" s="54">
        <v>3</v>
      </c>
      <c r="C20" s="55">
        <v>18004443</v>
      </c>
      <c r="D20" s="96">
        <f>IF(C20="",0,VLOOKUP(C20,Conf!A:D,4,FALSE))</f>
        <v>149593.78083333335</v>
      </c>
      <c r="E20" s="56">
        <v>10</v>
      </c>
      <c r="F20" s="56">
        <v>7</v>
      </c>
      <c r="G20" s="56">
        <v>10</v>
      </c>
      <c r="H20" s="56">
        <v>10</v>
      </c>
      <c r="I20" s="56">
        <v>10</v>
      </c>
      <c r="J20" s="56">
        <v>10</v>
      </c>
      <c r="K20" s="56">
        <v>10</v>
      </c>
      <c r="L20" s="33">
        <f t="shared" si="23"/>
        <v>27</v>
      </c>
      <c r="M20" s="33">
        <f t="shared" si="24"/>
        <v>0</v>
      </c>
      <c r="N20" s="100">
        <f t="shared" si="25"/>
        <v>0</v>
      </c>
      <c r="O20" s="99">
        <f t="shared" si="26"/>
        <v>27</v>
      </c>
      <c r="P20" s="33">
        <f t="shared" si="27"/>
        <v>27</v>
      </c>
      <c r="Q20" s="56">
        <v>10</v>
      </c>
      <c r="R20" s="56">
        <v>0</v>
      </c>
      <c r="S20" s="56">
        <v>10</v>
      </c>
      <c r="T20" s="56">
        <v>10</v>
      </c>
      <c r="U20" s="56">
        <v>0</v>
      </c>
      <c r="V20" s="56" t="s">
        <v>76</v>
      </c>
      <c r="W20" s="56">
        <v>0</v>
      </c>
      <c r="X20" s="33">
        <f t="shared" si="28"/>
        <v>0</v>
      </c>
      <c r="Y20" s="33">
        <f t="shared" si="29"/>
        <v>0</v>
      </c>
      <c r="Z20" s="100">
        <f t="shared" si="30"/>
        <v>0</v>
      </c>
      <c r="AA20" s="99">
        <f t="shared" si="31"/>
        <v>0</v>
      </c>
      <c r="AB20" s="33">
        <f t="shared" si="32"/>
        <v>-2</v>
      </c>
      <c r="AC20" s="56">
        <v>0</v>
      </c>
      <c r="AD20" s="56">
        <v>14</v>
      </c>
      <c r="AE20" s="56">
        <v>10</v>
      </c>
      <c r="AF20" s="56">
        <v>0</v>
      </c>
      <c r="AG20" s="56">
        <v>14</v>
      </c>
      <c r="AH20" s="56">
        <v>10</v>
      </c>
      <c r="AI20" s="56">
        <v>0</v>
      </c>
      <c r="AJ20" s="33">
        <f t="shared" si="33"/>
        <v>8</v>
      </c>
      <c r="AK20" s="33">
        <f t="shared" si="34"/>
        <v>0</v>
      </c>
      <c r="AL20" s="100">
        <f t="shared" si="35"/>
        <v>2</v>
      </c>
      <c r="AM20" s="99">
        <f t="shared" si="36"/>
        <v>8</v>
      </c>
      <c r="AN20" s="33">
        <f t="shared" si="37"/>
        <v>8</v>
      </c>
      <c r="AO20" s="56">
        <v>14</v>
      </c>
      <c r="AP20" s="56">
        <v>10</v>
      </c>
      <c r="AQ20" s="56">
        <v>0</v>
      </c>
      <c r="AR20" s="56">
        <v>10</v>
      </c>
      <c r="AS20" s="56">
        <v>10</v>
      </c>
      <c r="AT20" s="56">
        <v>0</v>
      </c>
      <c r="AU20" s="56">
        <v>0</v>
      </c>
      <c r="AV20" s="33">
        <f t="shared" si="38"/>
        <v>4</v>
      </c>
      <c r="AW20" s="33">
        <f t="shared" si="39"/>
        <v>0</v>
      </c>
      <c r="AX20" s="100">
        <f t="shared" si="40"/>
        <v>1</v>
      </c>
      <c r="AY20" s="99">
        <f t="shared" si="41"/>
        <v>4</v>
      </c>
      <c r="AZ20" s="33">
        <f t="shared" si="42"/>
        <v>4</v>
      </c>
      <c r="BA20" s="56"/>
      <c r="BB20" s="56"/>
      <c r="BC20" s="56"/>
      <c r="BD20" s="56"/>
      <c r="BE20" s="56"/>
      <c r="BF20" s="56"/>
      <c r="BG20" s="56"/>
      <c r="BH20" s="33">
        <f t="shared" si="43"/>
        <v>0</v>
      </c>
      <c r="BI20" s="33">
        <f t="shared" si="44"/>
        <v>0</v>
      </c>
      <c r="BJ20" s="100">
        <f t="shared" si="45"/>
        <v>0</v>
      </c>
      <c r="BK20" s="99">
        <f t="shared" si="46"/>
        <v>0</v>
      </c>
      <c r="BL20" s="33">
        <f t="shared" si="47"/>
        <v>0</v>
      </c>
      <c r="BM20" s="39"/>
      <c r="BN20" s="39"/>
      <c r="BO20" s="39"/>
      <c r="BP20" s="39"/>
      <c r="BQ20" s="39"/>
      <c r="BR20" s="39"/>
      <c r="BS20" s="39"/>
      <c r="BT20" s="33">
        <f t="shared" si="48"/>
        <v>0</v>
      </c>
      <c r="BU20" s="33">
        <f t="shared" si="49"/>
        <v>0</v>
      </c>
      <c r="BV20" s="100">
        <f t="shared" si="50"/>
        <v>0</v>
      </c>
      <c r="BW20" s="99">
        <f t="shared" si="51"/>
        <v>0</v>
      </c>
      <c r="BX20" s="33">
        <f t="shared" si="52"/>
        <v>0</v>
      </c>
      <c r="BY20" s="98">
        <f t="shared" si="53"/>
        <v>3</v>
      </c>
      <c r="BZ20" s="36">
        <f t="shared" si="54"/>
        <v>39</v>
      </c>
      <c r="CA20" s="37">
        <f t="shared" si="55"/>
        <v>0</v>
      </c>
      <c r="CB20" s="38">
        <f t="shared" si="56"/>
        <v>50487.90103125001</v>
      </c>
      <c r="CC20" s="10">
        <f>D20*12/2080*1.5</f>
        <v>1294.5615649038464</v>
      </c>
      <c r="CD20" s="11">
        <f>D20*12/2080*2</f>
        <v>1726.0820865384617</v>
      </c>
    </row>
    <row r="21" spans="1:82" s="1" customFormat="1" ht="16.5" customHeight="1">
      <c r="A21" s="53"/>
      <c r="B21" s="54">
        <v>3</v>
      </c>
      <c r="C21" s="55">
        <v>18004252</v>
      </c>
      <c r="D21" s="96">
        <f>IF(C21="",0,VLOOKUP(C21,Conf!A:D,4,FALSE))</f>
        <v>198180.84083333332</v>
      </c>
      <c r="E21" s="56">
        <v>7</v>
      </c>
      <c r="F21" s="56">
        <v>7</v>
      </c>
      <c r="G21" s="56">
        <v>7</v>
      </c>
      <c r="H21" s="56">
        <v>7</v>
      </c>
      <c r="I21" s="56">
        <v>10</v>
      </c>
      <c r="J21" s="56">
        <v>10</v>
      </c>
      <c r="K21" s="56">
        <v>0</v>
      </c>
      <c r="L21" s="33">
        <f t="shared" si="23"/>
        <v>8</v>
      </c>
      <c r="M21" s="33">
        <f t="shared" si="24"/>
        <v>0</v>
      </c>
      <c r="N21" s="100">
        <f t="shared" si="25"/>
        <v>0</v>
      </c>
      <c r="O21" s="99">
        <f t="shared" si="26"/>
        <v>8</v>
      </c>
      <c r="P21" s="33">
        <f t="shared" si="27"/>
        <v>8</v>
      </c>
      <c r="Q21" s="56">
        <v>0</v>
      </c>
      <c r="R21" s="56">
        <v>7</v>
      </c>
      <c r="S21" s="56">
        <v>7</v>
      </c>
      <c r="T21" s="56">
        <v>7</v>
      </c>
      <c r="U21" s="56">
        <v>7</v>
      </c>
      <c r="V21" s="56">
        <v>10</v>
      </c>
      <c r="W21" s="56">
        <v>10</v>
      </c>
      <c r="X21" s="33">
        <f t="shared" si="28"/>
        <v>8</v>
      </c>
      <c r="Y21" s="33">
        <f t="shared" si="29"/>
        <v>0</v>
      </c>
      <c r="Z21" s="100">
        <f t="shared" si="30"/>
        <v>0</v>
      </c>
      <c r="AA21" s="99">
        <f t="shared" si="31"/>
        <v>8</v>
      </c>
      <c r="AB21" s="33">
        <f t="shared" si="32"/>
        <v>8</v>
      </c>
      <c r="AC21" s="56">
        <v>0</v>
      </c>
      <c r="AD21" s="56">
        <v>0</v>
      </c>
      <c r="AE21" s="56">
        <v>7</v>
      </c>
      <c r="AF21" s="56">
        <v>7</v>
      </c>
      <c r="AG21" s="56">
        <v>7</v>
      </c>
      <c r="AH21" s="56">
        <v>7</v>
      </c>
      <c r="AI21" s="56">
        <v>10</v>
      </c>
      <c r="AJ21" s="33">
        <f t="shared" si="33"/>
        <v>-2</v>
      </c>
      <c r="AK21" s="33">
        <f t="shared" si="34"/>
        <v>0</v>
      </c>
      <c r="AL21" s="100">
        <f t="shared" si="35"/>
        <v>0</v>
      </c>
      <c r="AM21" s="99">
        <f t="shared" si="36"/>
        <v>-2</v>
      </c>
      <c r="AN21" s="33">
        <f t="shared" si="37"/>
        <v>-2</v>
      </c>
      <c r="AO21" s="56">
        <v>10</v>
      </c>
      <c r="AP21" s="56">
        <v>0</v>
      </c>
      <c r="AQ21" s="56">
        <v>0</v>
      </c>
      <c r="AR21" s="56">
        <v>7</v>
      </c>
      <c r="AS21" s="56">
        <v>7</v>
      </c>
      <c r="AT21" s="56">
        <v>7</v>
      </c>
      <c r="AU21" s="56">
        <v>7</v>
      </c>
      <c r="AV21" s="33">
        <f t="shared" si="38"/>
        <v>-2</v>
      </c>
      <c r="AW21" s="33">
        <f t="shared" si="39"/>
        <v>0</v>
      </c>
      <c r="AX21" s="100">
        <f t="shared" si="40"/>
        <v>0</v>
      </c>
      <c r="AY21" s="99">
        <f t="shared" si="41"/>
        <v>-2</v>
      </c>
      <c r="AZ21" s="33">
        <f t="shared" si="42"/>
        <v>-2</v>
      </c>
      <c r="BA21" s="56"/>
      <c r="BB21" s="56"/>
      <c r="BC21" s="56"/>
      <c r="BD21" s="56"/>
      <c r="BE21" s="56"/>
      <c r="BF21" s="56"/>
      <c r="BG21" s="56"/>
      <c r="BH21" s="33">
        <f t="shared" si="43"/>
        <v>0</v>
      </c>
      <c r="BI21" s="33">
        <f t="shared" si="44"/>
        <v>0</v>
      </c>
      <c r="BJ21" s="100">
        <f t="shared" si="45"/>
        <v>0</v>
      </c>
      <c r="BK21" s="99">
        <f t="shared" si="46"/>
        <v>0</v>
      </c>
      <c r="BL21" s="33">
        <f t="shared" si="47"/>
        <v>0</v>
      </c>
      <c r="BM21" s="39"/>
      <c r="BN21" s="39"/>
      <c r="BO21" s="39"/>
      <c r="BP21" s="39"/>
      <c r="BQ21" s="39"/>
      <c r="BR21" s="39"/>
      <c r="BS21" s="39"/>
      <c r="BT21" s="33">
        <f t="shared" si="48"/>
        <v>0</v>
      </c>
      <c r="BU21" s="33">
        <f t="shared" si="49"/>
        <v>0</v>
      </c>
      <c r="BV21" s="100">
        <f t="shared" si="50"/>
        <v>0</v>
      </c>
      <c r="BW21" s="99">
        <f t="shared" si="51"/>
        <v>0</v>
      </c>
      <c r="BX21" s="33">
        <f t="shared" si="52"/>
        <v>0</v>
      </c>
      <c r="BY21" s="98">
        <f t="shared" si="53"/>
        <v>0</v>
      </c>
      <c r="BZ21" s="36">
        <f t="shared" si="54"/>
        <v>12</v>
      </c>
      <c r="CA21" s="37">
        <f t="shared" si="55"/>
        <v>0</v>
      </c>
      <c r="CB21" s="38">
        <f t="shared" si="56"/>
        <v>20580.318086538464</v>
      </c>
      <c r="CC21" s="10">
        <f t="shared" si="57"/>
        <v>1715.0265072115385</v>
      </c>
      <c r="CD21" s="11">
        <f t="shared" si="58"/>
        <v>2286.7020096153847</v>
      </c>
    </row>
    <row r="22" spans="1:82" s="1" customFormat="1" ht="16.5" customHeight="1">
      <c r="A22" s="53"/>
      <c r="B22" s="54">
        <v>3</v>
      </c>
      <c r="C22" s="55">
        <v>18004314</v>
      </c>
      <c r="D22" s="96">
        <f>IF(C22="",0,VLOOKUP(C22,Conf!A:D,4,FALSE))</f>
        <v>228898.83166666667</v>
      </c>
      <c r="E22" s="56">
        <v>10</v>
      </c>
      <c r="F22" s="56">
        <v>7</v>
      </c>
      <c r="G22" s="56">
        <v>10</v>
      </c>
      <c r="H22" s="56">
        <v>10</v>
      </c>
      <c r="I22" s="56">
        <v>10</v>
      </c>
      <c r="J22" s="56">
        <v>10</v>
      </c>
      <c r="K22" s="56">
        <v>10</v>
      </c>
      <c r="L22" s="33">
        <f t="shared" si="23"/>
        <v>27</v>
      </c>
      <c r="M22" s="33">
        <f t="shared" si="24"/>
        <v>0</v>
      </c>
      <c r="N22" s="100">
        <f t="shared" si="25"/>
        <v>0</v>
      </c>
      <c r="O22" s="99">
        <f t="shared" si="26"/>
        <v>27</v>
      </c>
      <c r="P22" s="33">
        <f t="shared" si="27"/>
        <v>27</v>
      </c>
      <c r="Q22" s="56">
        <v>10</v>
      </c>
      <c r="R22" s="56">
        <v>0</v>
      </c>
      <c r="S22" s="56">
        <v>0</v>
      </c>
      <c r="T22" s="56">
        <v>7</v>
      </c>
      <c r="U22" s="56">
        <v>7</v>
      </c>
      <c r="V22" s="56">
        <v>7</v>
      </c>
      <c r="W22" s="56">
        <v>7</v>
      </c>
      <c r="X22" s="33">
        <f t="shared" si="28"/>
        <v>-2</v>
      </c>
      <c r="Y22" s="33">
        <f t="shared" si="29"/>
        <v>0</v>
      </c>
      <c r="Z22" s="100">
        <f t="shared" si="30"/>
        <v>0</v>
      </c>
      <c r="AA22" s="99">
        <f t="shared" si="31"/>
        <v>-2</v>
      </c>
      <c r="AB22" s="33">
        <f t="shared" si="32"/>
        <v>-2</v>
      </c>
      <c r="AC22" s="56">
        <v>10</v>
      </c>
      <c r="AD22" s="56">
        <v>10</v>
      </c>
      <c r="AE22" s="56">
        <v>0</v>
      </c>
      <c r="AF22" s="56">
        <v>0</v>
      </c>
      <c r="AG22" s="56">
        <v>7</v>
      </c>
      <c r="AH22" s="56">
        <v>7</v>
      </c>
      <c r="AI22" s="56">
        <v>7</v>
      </c>
      <c r="AJ22" s="33">
        <f t="shared" si="33"/>
        <v>1</v>
      </c>
      <c r="AK22" s="33">
        <f t="shared" si="34"/>
        <v>0</v>
      </c>
      <c r="AL22" s="100">
        <f t="shared" si="35"/>
        <v>0</v>
      </c>
      <c r="AM22" s="99">
        <f t="shared" si="36"/>
        <v>1</v>
      </c>
      <c r="AN22" s="33">
        <f t="shared" si="37"/>
        <v>1</v>
      </c>
      <c r="AO22" s="56">
        <v>7</v>
      </c>
      <c r="AP22" s="56">
        <v>10</v>
      </c>
      <c r="AQ22" s="56">
        <v>10</v>
      </c>
      <c r="AR22" s="56">
        <v>0</v>
      </c>
      <c r="AS22" s="56">
        <v>0</v>
      </c>
      <c r="AT22" s="56">
        <v>7</v>
      </c>
      <c r="AU22" s="56">
        <v>7</v>
      </c>
      <c r="AV22" s="33">
        <f t="shared" si="38"/>
        <v>1</v>
      </c>
      <c r="AW22" s="33">
        <f t="shared" si="39"/>
        <v>0</v>
      </c>
      <c r="AX22" s="100">
        <f t="shared" si="40"/>
        <v>0</v>
      </c>
      <c r="AY22" s="99">
        <f t="shared" si="41"/>
        <v>1</v>
      </c>
      <c r="AZ22" s="33">
        <f t="shared" si="42"/>
        <v>1</v>
      </c>
      <c r="BA22" s="56"/>
      <c r="BB22" s="56"/>
      <c r="BC22" s="56"/>
      <c r="BD22" s="56"/>
      <c r="BE22" s="56"/>
      <c r="BF22" s="56"/>
      <c r="BG22" s="56"/>
      <c r="BH22" s="33">
        <f t="shared" si="43"/>
        <v>0</v>
      </c>
      <c r="BI22" s="33">
        <f t="shared" si="44"/>
        <v>0</v>
      </c>
      <c r="BJ22" s="100">
        <f t="shared" si="45"/>
        <v>0</v>
      </c>
      <c r="BK22" s="99">
        <f t="shared" si="46"/>
        <v>0</v>
      </c>
      <c r="BL22" s="33">
        <f t="shared" si="47"/>
        <v>0</v>
      </c>
      <c r="BM22" s="39"/>
      <c r="BN22" s="39"/>
      <c r="BO22" s="39"/>
      <c r="BP22" s="39"/>
      <c r="BQ22" s="39"/>
      <c r="BR22" s="39"/>
      <c r="BS22" s="39"/>
      <c r="BT22" s="33">
        <f t="shared" si="48"/>
        <v>0</v>
      </c>
      <c r="BU22" s="33">
        <f t="shared" si="49"/>
        <v>0</v>
      </c>
      <c r="BV22" s="100">
        <f t="shared" si="50"/>
        <v>0</v>
      </c>
      <c r="BW22" s="99">
        <f t="shared" si="51"/>
        <v>0</v>
      </c>
      <c r="BX22" s="33">
        <f t="shared" si="52"/>
        <v>0</v>
      </c>
      <c r="BY22" s="98">
        <f t="shared" si="53"/>
        <v>0</v>
      </c>
      <c r="BZ22" s="36">
        <f t="shared" si="54"/>
        <v>27</v>
      </c>
      <c r="CA22" s="37">
        <f t="shared" si="55"/>
        <v>0</v>
      </c>
      <c r="CB22" s="38">
        <f t="shared" si="56"/>
        <v>53483.092399038462</v>
      </c>
      <c r="CC22" s="10">
        <f t="shared" si="57"/>
        <v>1980.8552740384616</v>
      </c>
      <c r="CD22" s="11">
        <f t="shared" si="58"/>
        <v>2641.1403653846155</v>
      </c>
    </row>
    <row r="23" spans="1:82" s="1" customFormat="1" ht="16.5" customHeight="1">
      <c r="A23" s="53"/>
      <c r="B23" s="54">
        <v>3</v>
      </c>
      <c r="C23" s="55">
        <v>18008453</v>
      </c>
      <c r="D23" s="96">
        <f>IF(C23="",0,VLOOKUP(C23,Conf!A:D,4,FALSE))</f>
        <v>82591.666666666672</v>
      </c>
      <c r="E23" s="56">
        <v>10</v>
      </c>
      <c r="F23" s="56">
        <v>7</v>
      </c>
      <c r="G23" s="56">
        <v>10</v>
      </c>
      <c r="H23" s="56">
        <v>10</v>
      </c>
      <c r="I23" s="56">
        <v>10</v>
      </c>
      <c r="J23" s="56">
        <v>10</v>
      </c>
      <c r="K23" s="56">
        <v>10</v>
      </c>
      <c r="L23" s="33">
        <f t="shared" si="23"/>
        <v>27</v>
      </c>
      <c r="M23" s="33">
        <f t="shared" si="24"/>
        <v>0</v>
      </c>
      <c r="N23" s="100">
        <f t="shared" si="25"/>
        <v>0</v>
      </c>
      <c r="O23" s="99">
        <f t="shared" si="26"/>
        <v>27</v>
      </c>
      <c r="P23" s="33">
        <f t="shared" si="27"/>
        <v>27</v>
      </c>
      <c r="Q23" s="56">
        <v>10</v>
      </c>
      <c r="R23" s="56">
        <v>7</v>
      </c>
      <c r="S23" s="56">
        <v>7</v>
      </c>
      <c r="T23" s="56">
        <v>10</v>
      </c>
      <c r="U23" s="56">
        <v>10</v>
      </c>
      <c r="V23" s="56">
        <v>0</v>
      </c>
      <c r="W23" s="56">
        <v>0</v>
      </c>
      <c r="X23" s="33">
        <f t="shared" si="28"/>
        <v>4</v>
      </c>
      <c r="Y23" s="33">
        <f t="shared" si="29"/>
        <v>0</v>
      </c>
      <c r="Z23" s="100">
        <f t="shared" si="30"/>
        <v>0</v>
      </c>
      <c r="AA23" s="99">
        <f t="shared" si="31"/>
        <v>4</v>
      </c>
      <c r="AB23" s="33">
        <f t="shared" si="32"/>
        <v>4</v>
      </c>
      <c r="AC23" s="56">
        <v>7</v>
      </c>
      <c r="AD23" s="56">
        <v>7</v>
      </c>
      <c r="AE23" s="56">
        <v>7</v>
      </c>
      <c r="AF23" s="56">
        <v>7</v>
      </c>
      <c r="AG23" s="56">
        <v>10</v>
      </c>
      <c r="AH23" s="56">
        <v>10</v>
      </c>
      <c r="AI23" s="56">
        <v>0</v>
      </c>
      <c r="AJ23" s="33">
        <f t="shared" si="33"/>
        <v>8</v>
      </c>
      <c r="AK23" s="33">
        <f t="shared" si="34"/>
        <v>0</v>
      </c>
      <c r="AL23" s="100">
        <f t="shared" si="35"/>
        <v>0</v>
      </c>
      <c r="AM23" s="99">
        <f t="shared" si="36"/>
        <v>8</v>
      </c>
      <c r="AN23" s="33">
        <f t="shared" si="37"/>
        <v>8</v>
      </c>
      <c r="AO23" s="56">
        <v>0</v>
      </c>
      <c r="AP23" s="56">
        <v>7</v>
      </c>
      <c r="AQ23" s="56">
        <v>7</v>
      </c>
      <c r="AR23" s="56">
        <v>7</v>
      </c>
      <c r="AS23" s="56">
        <v>7</v>
      </c>
      <c r="AT23" s="56">
        <v>10</v>
      </c>
      <c r="AU23" s="56">
        <v>10</v>
      </c>
      <c r="AV23" s="33">
        <f t="shared" si="38"/>
        <v>8</v>
      </c>
      <c r="AW23" s="33">
        <f t="shared" si="39"/>
        <v>0</v>
      </c>
      <c r="AX23" s="100">
        <f t="shared" si="40"/>
        <v>0</v>
      </c>
      <c r="AY23" s="99">
        <f t="shared" si="41"/>
        <v>8</v>
      </c>
      <c r="AZ23" s="33">
        <f t="shared" si="42"/>
        <v>8</v>
      </c>
      <c r="BA23" s="56"/>
      <c r="BB23" s="56"/>
      <c r="BC23" s="56"/>
      <c r="BD23" s="56"/>
      <c r="BE23" s="56"/>
      <c r="BF23" s="56"/>
      <c r="BG23" s="56"/>
      <c r="BH23" s="33">
        <f t="shared" si="43"/>
        <v>0</v>
      </c>
      <c r="BI23" s="33">
        <f t="shared" si="44"/>
        <v>0</v>
      </c>
      <c r="BJ23" s="100">
        <f t="shared" si="45"/>
        <v>0</v>
      </c>
      <c r="BK23" s="99">
        <f t="shared" si="46"/>
        <v>0</v>
      </c>
      <c r="BL23" s="33">
        <f t="shared" si="47"/>
        <v>0</v>
      </c>
      <c r="BM23" s="39"/>
      <c r="BN23" s="39"/>
      <c r="BO23" s="39"/>
      <c r="BP23" s="39"/>
      <c r="BQ23" s="39"/>
      <c r="BR23" s="39"/>
      <c r="BS23" s="39"/>
      <c r="BT23" s="33">
        <f t="shared" si="48"/>
        <v>0</v>
      </c>
      <c r="BU23" s="33">
        <f t="shared" si="49"/>
        <v>0</v>
      </c>
      <c r="BV23" s="100">
        <f t="shared" si="50"/>
        <v>0</v>
      </c>
      <c r="BW23" s="99">
        <f t="shared" si="51"/>
        <v>0</v>
      </c>
      <c r="BX23" s="33">
        <f t="shared" si="52"/>
        <v>0</v>
      </c>
      <c r="BY23" s="98">
        <f t="shared" si="53"/>
        <v>0</v>
      </c>
      <c r="BZ23" s="36">
        <f t="shared" si="54"/>
        <v>47</v>
      </c>
      <c r="CA23" s="37">
        <f t="shared" si="55"/>
        <v>0</v>
      </c>
      <c r="CB23" s="38">
        <f t="shared" si="56"/>
        <v>33592.572115384617</v>
      </c>
      <c r="CC23" s="10">
        <f>D23*12/2080*1.5</f>
        <v>714.73557692307691</v>
      </c>
      <c r="CD23" s="11">
        <f>D23*12/2080*2</f>
        <v>952.98076923076928</v>
      </c>
    </row>
    <row r="24" spans="1:82" s="1" customFormat="1" ht="16.5" customHeight="1">
      <c r="A24" s="53"/>
      <c r="B24" s="54">
        <v>3</v>
      </c>
      <c r="C24" s="55">
        <v>18008456</v>
      </c>
      <c r="D24" s="96">
        <f>IF(C24="",0,VLOOKUP(C24,Conf!A:D,4,FALSE))</f>
        <v>82591.666666666672</v>
      </c>
      <c r="E24" s="56">
        <v>10</v>
      </c>
      <c r="F24" s="56">
        <v>7</v>
      </c>
      <c r="G24" s="56">
        <v>10</v>
      </c>
      <c r="H24" s="56">
        <v>10</v>
      </c>
      <c r="I24" s="56">
        <v>10</v>
      </c>
      <c r="J24" s="56">
        <v>10</v>
      </c>
      <c r="K24" s="56">
        <v>10</v>
      </c>
      <c r="L24" s="33">
        <f t="shared" si="23"/>
        <v>27</v>
      </c>
      <c r="M24" s="33">
        <f t="shared" si="24"/>
        <v>0</v>
      </c>
      <c r="N24" s="100">
        <f t="shared" si="25"/>
        <v>0</v>
      </c>
      <c r="O24" s="99">
        <f t="shared" si="26"/>
        <v>27</v>
      </c>
      <c r="P24" s="33">
        <f t="shared" si="27"/>
        <v>27</v>
      </c>
      <c r="Q24" s="56">
        <v>10</v>
      </c>
      <c r="R24" s="56">
        <v>0</v>
      </c>
      <c r="S24" s="56">
        <v>10</v>
      </c>
      <c r="T24" s="56">
        <v>0</v>
      </c>
      <c r="U24" s="56">
        <v>0</v>
      </c>
      <c r="V24" s="56">
        <v>7</v>
      </c>
      <c r="W24" s="56">
        <v>7</v>
      </c>
      <c r="X24" s="33">
        <f t="shared" si="28"/>
        <v>-6</v>
      </c>
      <c r="Y24" s="33">
        <f t="shared" si="29"/>
        <v>0</v>
      </c>
      <c r="Z24" s="100">
        <f t="shared" si="30"/>
        <v>0</v>
      </c>
      <c r="AA24" s="99">
        <f t="shared" si="31"/>
        <v>-6</v>
      </c>
      <c r="AB24" s="33">
        <f t="shared" si="32"/>
        <v>-6</v>
      </c>
      <c r="AC24" s="56">
        <v>7</v>
      </c>
      <c r="AD24" s="56">
        <v>7</v>
      </c>
      <c r="AE24" s="56">
        <v>10</v>
      </c>
      <c r="AF24" s="56">
        <v>10</v>
      </c>
      <c r="AG24" s="56">
        <v>0</v>
      </c>
      <c r="AH24" s="56">
        <v>0</v>
      </c>
      <c r="AI24" s="56">
        <v>7</v>
      </c>
      <c r="AJ24" s="33">
        <f t="shared" si="33"/>
        <v>1</v>
      </c>
      <c r="AK24" s="33">
        <f t="shared" si="34"/>
        <v>0</v>
      </c>
      <c r="AL24" s="100">
        <f t="shared" si="35"/>
        <v>0</v>
      </c>
      <c r="AM24" s="99">
        <f t="shared" si="36"/>
        <v>1</v>
      </c>
      <c r="AN24" s="33">
        <f t="shared" si="37"/>
        <v>1</v>
      </c>
      <c r="AO24" s="56">
        <v>7</v>
      </c>
      <c r="AP24" s="56">
        <v>7</v>
      </c>
      <c r="AQ24" s="56">
        <v>7</v>
      </c>
      <c r="AR24" s="56">
        <v>10</v>
      </c>
      <c r="AS24" s="56">
        <v>10</v>
      </c>
      <c r="AT24" s="56">
        <v>0</v>
      </c>
      <c r="AU24" s="56">
        <v>0</v>
      </c>
      <c r="AV24" s="33">
        <f t="shared" si="38"/>
        <v>1</v>
      </c>
      <c r="AW24" s="33">
        <f t="shared" si="39"/>
        <v>0</v>
      </c>
      <c r="AX24" s="100">
        <f t="shared" si="40"/>
        <v>0</v>
      </c>
      <c r="AY24" s="99">
        <f t="shared" si="41"/>
        <v>1</v>
      </c>
      <c r="AZ24" s="33">
        <f t="shared" si="42"/>
        <v>1</v>
      </c>
      <c r="BA24" s="56"/>
      <c r="BB24" s="56"/>
      <c r="BC24" s="56"/>
      <c r="BD24" s="56"/>
      <c r="BE24" s="56"/>
      <c r="BF24" s="56"/>
      <c r="BG24" s="56"/>
      <c r="BH24" s="33">
        <f t="shared" si="43"/>
        <v>0</v>
      </c>
      <c r="BI24" s="33">
        <f t="shared" si="44"/>
        <v>0</v>
      </c>
      <c r="BJ24" s="100">
        <f t="shared" si="45"/>
        <v>0</v>
      </c>
      <c r="BK24" s="99">
        <f t="shared" si="46"/>
        <v>0</v>
      </c>
      <c r="BL24" s="33">
        <f t="shared" si="47"/>
        <v>0</v>
      </c>
      <c r="BM24" s="39"/>
      <c r="BN24" s="39"/>
      <c r="BO24" s="39"/>
      <c r="BP24" s="39"/>
      <c r="BQ24" s="39"/>
      <c r="BR24" s="39"/>
      <c r="BS24" s="39"/>
      <c r="BT24" s="33">
        <f t="shared" si="48"/>
        <v>0</v>
      </c>
      <c r="BU24" s="33">
        <f t="shared" si="49"/>
        <v>0</v>
      </c>
      <c r="BV24" s="100">
        <f t="shared" si="50"/>
        <v>0</v>
      </c>
      <c r="BW24" s="99">
        <f t="shared" si="51"/>
        <v>0</v>
      </c>
      <c r="BX24" s="33">
        <f t="shared" si="52"/>
        <v>0</v>
      </c>
      <c r="BY24" s="98">
        <f t="shared" si="53"/>
        <v>0</v>
      </c>
      <c r="BZ24" s="36">
        <f t="shared" si="54"/>
        <v>23</v>
      </c>
      <c r="CA24" s="37">
        <f t="shared" si="55"/>
        <v>0</v>
      </c>
      <c r="CB24" s="38">
        <f t="shared" si="56"/>
        <v>16438.91826923077</v>
      </c>
      <c r="CC24" s="10">
        <f>D24*12/2080*1.5</f>
        <v>714.73557692307691</v>
      </c>
      <c r="CD24" s="11">
        <f>D24*12/2080*2</f>
        <v>952.98076923076928</v>
      </c>
    </row>
    <row r="25" spans="1:82" s="1" customFormat="1" ht="16.5" customHeight="1">
      <c r="A25" s="53"/>
      <c r="B25" s="54">
        <v>3</v>
      </c>
      <c r="C25" s="55">
        <v>18008088</v>
      </c>
      <c r="D25" s="96">
        <f>IF(C25="",0,VLOOKUP(C25,Conf!A:D,4,FALSE))</f>
        <v>83830.544999999998</v>
      </c>
      <c r="E25" s="56">
        <v>10</v>
      </c>
      <c r="F25" s="56">
        <v>7</v>
      </c>
      <c r="G25" s="56">
        <v>10</v>
      </c>
      <c r="H25" s="56">
        <v>10</v>
      </c>
      <c r="I25" s="56">
        <v>10</v>
      </c>
      <c r="J25" s="56">
        <v>10</v>
      </c>
      <c r="K25" s="56">
        <v>10</v>
      </c>
      <c r="L25" s="33">
        <f t="shared" si="23"/>
        <v>27</v>
      </c>
      <c r="M25" s="33">
        <f t="shared" si="24"/>
        <v>0</v>
      </c>
      <c r="N25" s="100">
        <f t="shared" si="25"/>
        <v>0</v>
      </c>
      <c r="O25" s="99">
        <f t="shared" si="26"/>
        <v>27</v>
      </c>
      <c r="P25" s="33">
        <f t="shared" si="27"/>
        <v>27</v>
      </c>
      <c r="Q25" s="56">
        <v>10</v>
      </c>
      <c r="R25" s="56">
        <v>0</v>
      </c>
      <c r="S25" s="56">
        <v>10</v>
      </c>
      <c r="T25" s="56">
        <v>0</v>
      </c>
      <c r="U25" s="56">
        <v>0</v>
      </c>
      <c r="V25" s="56">
        <v>7</v>
      </c>
      <c r="W25" s="56">
        <v>7</v>
      </c>
      <c r="X25" s="33">
        <f t="shared" si="28"/>
        <v>-6</v>
      </c>
      <c r="Y25" s="33">
        <f t="shared" si="29"/>
        <v>0</v>
      </c>
      <c r="Z25" s="100">
        <f t="shared" si="30"/>
        <v>0</v>
      </c>
      <c r="AA25" s="99">
        <f t="shared" si="31"/>
        <v>-6</v>
      </c>
      <c r="AB25" s="33">
        <f t="shared" si="32"/>
        <v>-6</v>
      </c>
      <c r="AC25" s="56">
        <v>7</v>
      </c>
      <c r="AD25" s="56">
        <v>7</v>
      </c>
      <c r="AE25" s="56">
        <v>10</v>
      </c>
      <c r="AF25" s="56">
        <v>10</v>
      </c>
      <c r="AG25" s="56">
        <v>0</v>
      </c>
      <c r="AH25" s="56">
        <v>0</v>
      </c>
      <c r="AI25" s="56" t="s">
        <v>101</v>
      </c>
      <c r="AJ25" s="33">
        <f t="shared" si="33"/>
        <v>2</v>
      </c>
      <c r="AK25" s="33">
        <f t="shared" si="34"/>
        <v>0</v>
      </c>
      <c r="AL25" s="100">
        <f t="shared" si="35"/>
        <v>0</v>
      </c>
      <c r="AM25" s="99">
        <f t="shared" si="36"/>
        <v>2</v>
      </c>
      <c r="AN25" s="33">
        <f t="shared" si="37"/>
        <v>2</v>
      </c>
      <c r="AO25" s="56">
        <v>0</v>
      </c>
      <c r="AP25" s="56">
        <v>0</v>
      </c>
      <c r="AQ25" s="56" t="s">
        <v>101</v>
      </c>
      <c r="AR25" s="56" t="s">
        <v>101</v>
      </c>
      <c r="AS25" s="56" t="s">
        <v>101</v>
      </c>
      <c r="AT25" s="56" t="s">
        <v>101</v>
      </c>
      <c r="AU25" s="56" t="s">
        <v>101</v>
      </c>
      <c r="AV25" s="33">
        <f t="shared" si="38"/>
        <v>0</v>
      </c>
      <c r="AW25" s="33">
        <f t="shared" si="39"/>
        <v>0</v>
      </c>
      <c r="AX25" s="100">
        <f t="shared" si="40"/>
        <v>0</v>
      </c>
      <c r="AY25" s="99">
        <f t="shared" si="41"/>
        <v>0</v>
      </c>
      <c r="AZ25" s="33">
        <f t="shared" si="42"/>
        <v>0</v>
      </c>
      <c r="BA25" s="56"/>
      <c r="BB25" s="56"/>
      <c r="BC25" s="56"/>
      <c r="BD25" s="56"/>
      <c r="BE25" s="56"/>
      <c r="BF25" s="56"/>
      <c r="BG25" s="56"/>
      <c r="BH25" s="33">
        <f t="shared" si="43"/>
        <v>0</v>
      </c>
      <c r="BI25" s="33">
        <f t="shared" si="44"/>
        <v>0</v>
      </c>
      <c r="BJ25" s="100">
        <f t="shared" si="45"/>
        <v>0</v>
      </c>
      <c r="BK25" s="99">
        <f t="shared" si="46"/>
        <v>0</v>
      </c>
      <c r="BL25" s="33">
        <f t="shared" si="47"/>
        <v>0</v>
      </c>
      <c r="BM25" s="39"/>
      <c r="BN25" s="39"/>
      <c r="BO25" s="39"/>
      <c r="BP25" s="39"/>
      <c r="BQ25" s="39"/>
      <c r="BR25" s="39"/>
      <c r="BS25" s="39"/>
      <c r="BT25" s="33">
        <f t="shared" si="48"/>
        <v>0</v>
      </c>
      <c r="BU25" s="33">
        <f t="shared" si="49"/>
        <v>0</v>
      </c>
      <c r="BV25" s="100">
        <f t="shared" si="50"/>
        <v>0</v>
      </c>
      <c r="BW25" s="99">
        <f t="shared" si="51"/>
        <v>0</v>
      </c>
      <c r="BX25" s="33">
        <f t="shared" si="52"/>
        <v>0</v>
      </c>
      <c r="BY25" s="98">
        <f t="shared" si="53"/>
        <v>0</v>
      </c>
      <c r="BZ25" s="36">
        <f t="shared" si="54"/>
        <v>23</v>
      </c>
      <c r="CA25" s="37">
        <f t="shared" si="55"/>
        <v>0</v>
      </c>
      <c r="CB25" s="38">
        <f t="shared" si="56"/>
        <v>16685.502706730767</v>
      </c>
      <c r="CC25" s="10">
        <f t="shared" si="57"/>
        <v>725.45663942307692</v>
      </c>
      <c r="CD25" s="11">
        <f t="shared" si="58"/>
        <v>967.27551923076931</v>
      </c>
    </row>
    <row r="26" spans="1:82" s="1" customFormat="1" ht="16.5" customHeight="1">
      <c r="A26" s="53"/>
      <c r="B26" s="54">
        <v>3</v>
      </c>
      <c r="C26" s="55">
        <v>18008107</v>
      </c>
      <c r="D26" s="96">
        <f>IF(C26="",0,VLOOKUP(C26,Conf!A:D,4,FALSE))</f>
        <v>83830.544999999998</v>
      </c>
      <c r="E26" s="56">
        <v>0</v>
      </c>
      <c r="F26" s="56">
        <v>0</v>
      </c>
      <c r="G26" s="56">
        <v>7</v>
      </c>
      <c r="H26" s="56">
        <v>7</v>
      </c>
      <c r="I26" s="56">
        <v>7</v>
      </c>
      <c r="J26" s="56">
        <v>7</v>
      </c>
      <c r="K26" s="56">
        <v>10</v>
      </c>
      <c r="L26" s="33">
        <f t="shared" si="23"/>
        <v>0</v>
      </c>
      <c r="M26" s="33">
        <f t="shared" si="24"/>
        <v>0</v>
      </c>
      <c r="N26" s="100">
        <f t="shared" si="25"/>
        <v>0</v>
      </c>
      <c r="O26" s="99">
        <f t="shared" si="26"/>
        <v>0</v>
      </c>
      <c r="P26" s="33">
        <f t="shared" si="27"/>
        <v>-2</v>
      </c>
      <c r="Q26" s="56">
        <v>10</v>
      </c>
      <c r="R26" s="56">
        <v>0</v>
      </c>
      <c r="S26" s="56">
        <v>0</v>
      </c>
      <c r="T26" s="56">
        <v>7</v>
      </c>
      <c r="U26" s="56">
        <v>7</v>
      </c>
      <c r="V26" s="56">
        <v>7</v>
      </c>
      <c r="W26" s="56">
        <v>7</v>
      </c>
      <c r="X26" s="33">
        <f t="shared" si="28"/>
        <v>0</v>
      </c>
      <c r="Y26" s="33">
        <f t="shared" si="29"/>
        <v>0</v>
      </c>
      <c r="Z26" s="100">
        <f t="shared" si="30"/>
        <v>0</v>
      </c>
      <c r="AA26" s="99">
        <f t="shared" si="31"/>
        <v>0</v>
      </c>
      <c r="AB26" s="33">
        <f t="shared" si="32"/>
        <v>-2</v>
      </c>
      <c r="AC26" s="56">
        <v>10</v>
      </c>
      <c r="AD26" s="56">
        <v>10</v>
      </c>
      <c r="AE26" s="56">
        <v>0</v>
      </c>
      <c r="AF26" s="56">
        <v>0</v>
      </c>
      <c r="AG26" s="56">
        <v>7</v>
      </c>
      <c r="AH26" s="56">
        <v>7</v>
      </c>
      <c r="AI26" s="56">
        <v>14</v>
      </c>
      <c r="AJ26" s="33">
        <f t="shared" si="33"/>
        <v>8</v>
      </c>
      <c r="AK26" s="33">
        <f t="shared" si="34"/>
        <v>0</v>
      </c>
      <c r="AL26" s="100">
        <f t="shared" si="35"/>
        <v>1</v>
      </c>
      <c r="AM26" s="99">
        <f t="shared" si="36"/>
        <v>8</v>
      </c>
      <c r="AN26" s="33">
        <f t="shared" si="37"/>
        <v>8</v>
      </c>
      <c r="AO26" s="56">
        <v>10</v>
      </c>
      <c r="AP26" s="56">
        <v>0</v>
      </c>
      <c r="AQ26" s="56">
        <v>14</v>
      </c>
      <c r="AR26" s="56">
        <v>10</v>
      </c>
      <c r="AS26" s="56">
        <v>0</v>
      </c>
      <c r="AT26" s="56">
        <v>14</v>
      </c>
      <c r="AU26" s="56">
        <v>10</v>
      </c>
      <c r="AV26" s="33">
        <f t="shared" si="38"/>
        <v>18</v>
      </c>
      <c r="AW26" s="33">
        <f t="shared" si="39"/>
        <v>0</v>
      </c>
      <c r="AX26" s="100">
        <f t="shared" si="40"/>
        <v>2</v>
      </c>
      <c r="AY26" s="99">
        <f t="shared" si="41"/>
        <v>18</v>
      </c>
      <c r="AZ26" s="33">
        <f t="shared" si="42"/>
        <v>18</v>
      </c>
      <c r="BA26" s="56"/>
      <c r="BB26" s="56"/>
      <c r="BC26" s="56"/>
      <c r="BD26" s="56"/>
      <c r="BE26" s="56"/>
      <c r="BF26" s="56"/>
      <c r="BG26" s="56"/>
      <c r="BH26" s="33">
        <f t="shared" si="43"/>
        <v>0</v>
      </c>
      <c r="BI26" s="33">
        <f t="shared" si="44"/>
        <v>0</v>
      </c>
      <c r="BJ26" s="100">
        <f t="shared" si="45"/>
        <v>0</v>
      </c>
      <c r="BK26" s="99">
        <f t="shared" si="46"/>
        <v>0</v>
      </c>
      <c r="BL26" s="33">
        <f t="shared" si="47"/>
        <v>0</v>
      </c>
      <c r="BM26" s="39"/>
      <c r="BN26" s="39"/>
      <c r="BO26" s="39"/>
      <c r="BP26" s="39"/>
      <c r="BQ26" s="39"/>
      <c r="BR26" s="39"/>
      <c r="BS26" s="39"/>
      <c r="BT26" s="33">
        <f t="shared" si="48"/>
        <v>0</v>
      </c>
      <c r="BU26" s="33">
        <f t="shared" si="49"/>
        <v>0</v>
      </c>
      <c r="BV26" s="100">
        <f t="shared" si="50"/>
        <v>0</v>
      </c>
      <c r="BW26" s="99">
        <f t="shared" si="51"/>
        <v>0</v>
      </c>
      <c r="BX26" s="33">
        <f t="shared" si="52"/>
        <v>0</v>
      </c>
      <c r="BY26" s="98">
        <f t="shared" si="53"/>
        <v>3</v>
      </c>
      <c r="BZ26" s="36">
        <f t="shared" si="54"/>
        <v>26</v>
      </c>
      <c r="CA26" s="37">
        <f t="shared" si="55"/>
        <v>0</v>
      </c>
      <c r="CB26" s="38">
        <f t="shared" si="56"/>
        <v>18861.872625</v>
      </c>
      <c r="CC26" s="10">
        <f t="shared" ref="CC26" si="59">D26*12/2080*1.5</f>
        <v>725.45663942307692</v>
      </c>
      <c r="CD26" s="11">
        <f t="shared" ref="CD26" si="60">D26*12/2080*2</f>
        <v>967.27551923076931</v>
      </c>
    </row>
    <row r="27" spans="1:82" s="1" customFormat="1" ht="16.5" customHeight="1">
      <c r="A27" s="53"/>
      <c r="B27" s="54">
        <v>3</v>
      </c>
      <c r="C27" s="55">
        <v>18008465</v>
      </c>
      <c r="D27" s="96">
        <f>IF(C27="",0,VLOOKUP(C27,Conf!A:D,4,FALSE))</f>
        <v>82591.666666666672</v>
      </c>
      <c r="E27" s="56">
        <v>0</v>
      </c>
      <c r="F27" s="56">
        <v>0</v>
      </c>
      <c r="G27" s="56">
        <v>10</v>
      </c>
      <c r="H27" s="56">
        <v>10</v>
      </c>
      <c r="I27" s="56">
        <v>10</v>
      </c>
      <c r="J27" s="56">
        <v>10</v>
      </c>
      <c r="K27" s="56">
        <v>10</v>
      </c>
      <c r="L27" s="33">
        <f t="shared" si="23"/>
        <v>10</v>
      </c>
      <c r="M27" s="33">
        <f t="shared" si="24"/>
        <v>0</v>
      </c>
      <c r="N27" s="100">
        <f t="shared" si="25"/>
        <v>0</v>
      </c>
      <c r="O27" s="99">
        <f t="shared" si="26"/>
        <v>10</v>
      </c>
      <c r="P27" s="33">
        <f t="shared" si="27"/>
        <v>10</v>
      </c>
      <c r="Q27" s="56">
        <v>10</v>
      </c>
      <c r="R27" s="56">
        <v>0</v>
      </c>
      <c r="S27" s="56">
        <v>7</v>
      </c>
      <c r="T27" s="56">
        <v>7</v>
      </c>
      <c r="U27" s="56">
        <v>7</v>
      </c>
      <c r="V27" s="56">
        <v>10</v>
      </c>
      <c r="W27" s="56">
        <v>10</v>
      </c>
      <c r="X27" s="33">
        <f t="shared" si="28"/>
        <v>11</v>
      </c>
      <c r="Y27" s="33">
        <f t="shared" si="29"/>
        <v>0</v>
      </c>
      <c r="Z27" s="100">
        <f t="shared" si="30"/>
        <v>0</v>
      </c>
      <c r="AA27" s="99">
        <f t="shared" si="31"/>
        <v>11</v>
      </c>
      <c r="AB27" s="33">
        <f t="shared" si="32"/>
        <v>11</v>
      </c>
      <c r="AC27" s="56">
        <v>0</v>
      </c>
      <c r="AD27" s="56">
        <v>0</v>
      </c>
      <c r="AE27" s="56">
        <v>7</v>
      </c>
      <c r="AF27" s="56">
        <v>7</v>
      </c>
      <c r="AG27" s="56">
        <v>7</v>
      </c>
      <c r="AH27" s="56">
        <v>7</v>
      </c>
      <c r="AI27" s="56">
        <v>10</v>
      </c>
      <c r="AJ27" s="33">
        <f t="shared" si="33"/>
        <v>0</v>
      </c>
      <c r="AK27" s="33">
        <f t="shared" si="34"/>
        <v>0</v>
      </c>
      <c r="AL27" s="100">
        <f t="shared" si="35"/>
        <v>0</v>
      </c>
      <c r="AM27" s="99">
        <f t="shared" si="36"/>
        <v>0</v>
      </c>
      <c r="AN27" s="33">
        <f t="shared" si="37"/>
        <v>-2</v>
      </c>
      <c r="AO27" s="56">
        <v>0</v>
      </c>
      <c r="AP27" s="56">
        <v>14</v>
      </c>
      <c r="AQ27" s="56">
        <v>10</v>
      </c>
      <c r="AR27" s="56">
        <v>0</v>
      </c>
      <c r="AS27" s="56">
        <v>14</v>
      </c>
      <c r="AT27" s="56">
        <v>10</v>
      </c>
      <c r="AU27" s="56">
        <v>0</v>
      </c>
      <c r="AV27" s="33">
        <f t="shared" si="38"/>
        <v>8</v>
      </c>
      <c r="AW27" s="33">
        <f t="shared" si="39"/>
        <v>0</v>
      </c>
      <c r="AX27" s="100">
        <f t="shared" si="40"/>
        <v>2</v>
      </c>
      <c r="AY27" s="99">
        <f t="shared" si="41"/>
        <v>8</v>
      </c>
      <c r="AZ27" s="33">
        <f t="shared" si="42"/>
        <v>8</v>
      </c>
      <c r="BA27" s="56"/>
      <c r="BB27" s="56"/>
      <c r="BC27" s="56"/>
      <c r="BD27" s="56"/>
      <c r="BE27" s="56"/>
      <c r="BF27" s="56"/>
      <c r="BG27" s="56"/>
      <c r="BH27" s="33">
        <f t="shared" si="43"/>
        <v>0</v>
      </c>
      <c r="BI27" s="33">
        <f t="shared" si="44"/>
        <v>0</v>
      </c>
      <c r="BJ27" s="100">
        <f t="shared" si="45"/>
        <v>0</v>
      </c>
      <c r="BK27" s="99">
        <f t="shared" si="46"/>
        <v>0</v>
      </c>
      <c r="BL27" s="33">
        <f t="shared" si="47"/>
        <v>0</v>
      </c>
      <c r="BM27" s="39"/>
      <c r="BN27" s="39"/>
      <c r="BO27" s="39"/>
      <c r="BP27" s="39"/>
      <c r="BQ27" s="39"/>
      <c r="BR27" s="39"/>
      <c r="BS27" s="39"/>
      <c r="BT27" s="33">
        <f t="shared" si="48"/>
        <v>0</v>
      </c>
      <c r="BU27" s="33">
        <f t="shared" si="49"/>
        <v>0</v>
      </c>
      <c r="BV27" s="100">
        <f t="shared" si="50"/>
        <v>0</v>
      </c>
      <c r="BW27" s="99">
        <f t="shared" si="51"/>
        <v>0</v>
      </c>
      <c r="BX27" s="33">
        <f t="shared" si="52"/>
        <v>0</v>
      </c>
      <c r="BY27" s="98">
        <f t="shared" si="53"/>
        <v>2</v>
      </c>
      <c r="BZ27" s="36">
        <f t="shared" si="54"/>
        <v>29</v>
      </c>
      <c r="CA27" s="37">
        <f t="shared" si="55"/>
        <v>0</v>
      </c>
      <c r="CB27" s="38">
        <f t="shared" si="56"/>
        <v>20727.33173076923</v>
      </c>
      <c r="CC27" s="10">
        <f t="shared" ref="CC27:CC44" si="61">D27*12/2080*1.5</f>
        <v>714.73557692307691</v>
      </c>
      <c r="CD27" s="11">
        <f t="shared" ref="CD27:CD44" si="62">D27*12/2080*2</f>
        <v>952.98076923076928</v>
      </c>
    </row>
    <row r="28" spans="1:82" s="1" customFormat="1" ht="16.5" customHeight="1">
      <c r="A28" s="53"/>
      <c r="B28" s="54">
        <v>3</v>
      </c>
      <c r="C28" s="55">
        <v>18008451</v>
      </c>
      <c r="D28" s="96">
        <f>IF(C28="",0,VLOOKUP(C28,Conf!A:D,4,FALSE))</f>
        <v>82591.666666666672</v>
      </c>
      <c r="E28" s="56">
        <v>10</v>
      </c>
      <c r="F28" s="56">
        <v>7</v>
      </c>
      <c r="G28" s="56">
        <v>10</v>
      </c>
      <c r="H28" s="56">
        <v>10</v>
      </c>
      <c r="I28" s="56">
        <v>10</v>
      </c>
      <c r="J28" s="56">
        <v>10</v>
      </c>
      <c r="K28" s="56">
        <v>10</v>
      </c>
      <c r="L28" s="33">
        <f t="shared" si="23"/>
        <v>27</v>
      </c>
      <c r="M28" s="33">
        <f t="shared" si="24"/>
        <v>0</v>
      </c>
      <c r="N28" s="100">
        <f t="shared" si="25"/>
        <v>0</v>
      </c>
      <c r="O28" s="99">
        <f t="shared" si="26"/>
        <v>27</v>
      </c>
      <c r="P28" s="33">
        <f t="shared" si="27"/>
        <v>27</v>
      </c>
      <c r="Q28" s="56">
        <v>10</v>
      </c>
      <c r="R28" s="56">
        <v>0</v>
      </c>
      <c r="S28" s="56">
        <v>7</v>
      </c>
      <c r="T28" s="56">
        <v>10</v>
      </c>
      <c r="U28" s="56">
        <v>10</v>
      </c>
      <c r="V28" s="56">
        <v>0</v>
      </c>
      <c r="W28" s="56">
        <v>0</v>
      </c>
      <c r="X28" s="33">
        <f t="shared" si="28"/>
        <v>0</v>
      </c>
      <c r="Y28" s="33">
        <f t="shared" si="29"/>
        <v>0</v>
      </c>
      <c r="Z28" s="100">
        <f t="shared" si="30"/>
        <v>0</v>
      </c>
      <c r="AA28" s="99">
        <f t="shared" si="31"/>
        <v>0</v>
      </c>
      <c r="AB28" s="33">
        <f t="shared" si="32"/>
        <v>-3</v>
      </c>
      <c r="AC28" s="56">
        <v>7</v>
      </c>
      <c r="AD28" s="56">
        <v>7</v>
      </c>
      <c r="AE28" s="56">
        <v>7</v>
      </c>
      <c r="AF28" s="56">
        <v>7</v>
      </c>
      <c r="AG28" s="56">
        <v>10</v>
      </c>
      <c r="AH28" s="56">
        <v>10</v>
      </c>
      <c r="AI28" s="56">
        <v>0</v>
      </c>
      <c r="AJ28" s="33">
        <f t="shared" si="33"/>
        <v>8</v>
      </c>
      <c r="AK28" s="33">
        <f t="shared" si="34"/>
        <v>0</v>
      </c>
      <c r="AL28" s="100">
        <f t="shared" si="35"/>
        <v>0</v>
      </c>
      <c r="AM28" s="99">
        <f t="shared" si="36"/>
        <v>8</v>
      </c>
      <c r="AN28" s="33">
        <f t="shared" si="37"/>
        <v>8</v>
      </c>
      <c r="AO28" s="56">
        <v>14</v>
      </c>
      <c r="AP28" s="56">
        <v>10</v>
      </c>
      <c r="AQ28" s="56">
        <v>0</v>
      </c>
      <c r="AR28" s="56">
        <v>14</v>
      </c>
      <c r="AS28" s="56">
        <v>10</v>
      </c>
      <c r="AT28" s="56">
        <v>0</v>
      </c>
      <c r="AU28" s="56">
        <v>14</v>
      </c>
      <c r="AV28" s="33">
        <f t="shared" si="38"/>
        <v>22</v>
      </c>
      <c r="AW28" s="33">
        <f t="shared" si="39"/>
        <v>0</v>
      </c>
      <c r="AX28" s="100">
        <f t="shared" si="40"/>
        <v>3</v>
      </c>
      <c r="AY28" s="99">
        <f t="shared" si="41"/>
        <v>22</v>
      </c>
      <c r="AZ28" s="33">
        <f t="shared" si="42"/>
        <v>22</v>
      </c>
      <c r="BA28" s="56"/>
      <c r="BB28" s="56"/>
      <c r="BC28" s="56"/>
      <c r="BD28" s="56"/>
      <c r="BE28" s="56"/>
      <c r="BF28" s="56"/>
      <c r="BG28" s="56"/>
      <c r="BH28" s="33">
        <f t="shared" si="43"/>
        <v>0</v>
      </c>
      <c r="BI28" s="33">
        <f t="shared" si="44"/>
        <v>0</v>
      </c>
      <c r="BJ28" s="100">
        <f t="shared" si="45"/>
        <v>0</v>
      </c>
      <c r="BK28" s="99">
        <f t="shared" si="46"/>
        <v>0</v>
      </c>
      <c r="BL28" s="33">
        <f t="shared" si="47"/>
        <v>0</v>
      </c>
      <c r="BM28" s="39"/>
      <c r="BN28" s="39"/>
      <c r="BO28" s="39"/>
      <c r="BP28" s="39"/>
      <c r="BQ28" s="39"/>
      <c r="BR28" s="39"/>
      <c r="BS28" s="39"/>
      <c r="BT28" s="33">
        <f t="shared" si="48"/>
        <v>0</v>
      </c>
      <c r="BU28" s="33">
        <f t="shared" si="49"/>
        <v>0</v>
      </c>
      <c r="BV28" s="100">
        <f t="shared" si="50"/>
        <v>0</v>
      </c>
      <c r="BW28" s="99">
        <f t="shared" si="51"/>
        <v>0</v>
      </c>
      <c r="BX28" s="33">
        <f t="shared" si="52"/>
        <v>0</v>
      </c>
      <c r="BY28" s="98">
        <f t="shared" si="53"/>
        <v>3</v>
      </c>
      <c r="BZ28" s="36">
        <f t="shared" si="54"/>
        <v>57</v>
      </c>
      <c r="CA28" s="37">
        <f t="shared" si="55"/>
        <v>0</v>
      </c>
      <c r="CB28" s="38">
        <f t="shared" si="56"/>
        <v>40739.927884615383</v>
      </c>
      <c r="CC28" s="10">
        <f t="shared" si="61"/>
        <v>714.73557692307691</v>
      </c>
      <c r="CD28" s="11">
        <f t="shared" si="62"/>
        <v>952.98076923076928</v>
      </c>
    </row>
    <row r="29" spans="1:82" ht="16.5" customHeight="1">
      <c r="A29" s="53"/>
      <c r="B29" s="54">
        <v>3</v>
      </c>
      <c r="C29" s="55">
        <v>18004264</v>
      </c>
      <c r="D29" s="96">
        <f>IF(C29="",0,VLOOKUP(C29,Conf!A:D,4,FALSE))</f>
        <v>140883.70499999999</v>
      </c>
      <c r="E29" s="56">
        <v>10</v>
      </c>
      <c r="F29" s="56">
        <v>10</v>
      </c>
      <c r="G29" s="56">
        <v>10</v>
      </c>
      <c r="H29" s="56">
        <v>10</v>
      </c>
      <c r="I29" s="56">
        <v>10</v>
      </c>
      <c r="J29" s="56">
        <v>10</v>
      </c>
      <c r="K29" s="56">
        <v>10</v>
      </c>
      <c r="L29" s="33">
        <f t="shared" si="23"/>
        <v>30</v>
      </c>
      <c r="M29" s="33">
        <f t="shared" si="24"/>
        <v>0</v>
      </c>
      <c r="N29" s="100">
        <f t="shared" si="25"/>
        <v>0</v>
      </c>
      <c r="O29" s="99">
        <f t="shared" si="26"/>
        <v>30</v>
      </c>
      <c r="P29" s="33">
        <f t="shared" si="27"/>
        <v>30</v>
      </c>
      <c r="Q29" s="56">
        <v>10</v>
      </c>
      <c r="R29" s="56">
        <v>7</v>
      </c>
      <c r="S29" s="56">
        <v>7</v>
      </c>
      <c r="T29" s="56">
        <v>10</v>
      </c>
      <c r="U29" s="56">
        <v>10</v>
      </c>
      <c r="V29" s="56">
        <v>0</v>
      </c>
      <c r="W29" s="56">
        <v>0</v>
      </c>
      <c r="X29" s="33">
        <f t="shared" si="28"/>
        <v>4</v>
      </c>
      <c r="Y29" s="33">
        <f t="shared" si="29"/>
        <v>0</v>
      </c>
      <c r="Z29" s="100">
        <f t="shared" si="30"/>
        <v>0</v>
      </c>
      <c r="AA29" s="99">
        <f t="shared" si="31"/>
        <v>4</v>
      </c>
      <c r="AB29" s="33">
        <f t="shared" si="32"/>
        <v>4</v>
      </c>
      <c r="AC29" s="56">
        <v>7</v>
      </c>
      <c r="AD29" s="56">
        <v>0</v>
      </c>
      <c r="AE29" s="56">
        <v>7</v>
      </c>
      <c r="AF29" s="56">
        <v>7</v>
      </c>
      <c r="AG29" s="56">
        <v>10</v>
      </c>
      <c r="AH29" s="56">
        <v>10</v>
      </c>
      <c r="AI29" s="56">
        <v>0</v>
      </c>
      <c r="AJ29" s="33">
        <f t="shared" si="33"/>
        <v>1</v>
      </c>
      <c r="AK29" s="33">
        <f t="shared" si="34"/>
        <v>0</v>
      </c>
      <c r="AL29" s="100">
        <f t="shared" si="35"/>
        <v>0</v>
      </c>
      <c r="AM29" s="99">
        <f t="shared" si="36"/>
        <v>1</v>
      </c>
      <c r="AN29" s="33">
        <f t="shared" si="37"/>
        <v>1</v>
      </c>
      <c r="AO29" s="56">
        <v>0</v>
      </c>
      <c r="AP29" s="56">
        <v>7</v>
      </c>
      <c r="AQ29" s="56">
        <v>7</v>
      </c>
      <c r="AR29" s="56">
        <v>7</v>
      </c>
      <c r="AS29" s="56">
        <v>7</v>
      </c>
      <c r="AT29" s="56">
        <v>10</v>
      </c>
      <c r="AU29" s="56">
        <v>10</v>
      </c>
      <c r="AV29" s="33">
        <f t="shared" si="38"/>
        <v>8</v>
      </c>
      <c r="AW29" s="33">
        <f t="shared" si="39"/>
        <v>0</v>
      </c>
      <c r="AX29" s="100">
        <f t="shared" si="40"/>
        <v>0</v>
      </c>
      <c r="AY29" s="99">
        <f t="shared" si="41"/>
        <v>8</v>
      </c>
      <c r="AZ29" s="33">
        <f t="shared" si="42"/>
        <v>8</v>
      </c>
      <c r="BA29" s="56"/>
      <c r="BB29" s="56"/>
      <c r="BC29" s="56"/>
      <c r="BD29" s="56"/>
      <c r="BE29" s="56"/>
      <c r="BF29" s="56"/>
      <c r="BG29" s="56"/>
      <c r="BH29" s="33">
        <f t="shared" si="43"/>
        <v>0</v>
      </c>
      <c r="BI29" s="33">
        <f t="shared" si="44"/>
        <v>0</v>
      </c>
      <c r="BJ29" s="100">
        <f t="shared" si="45"/>
        <v>0</v>
      </c>
      <c r="BK29" s="99">
        <f t="shared" si="46"/>
        <v>0</v>
      </c>
      <c r="BL29" s="33">
        <f t="shared" si="47"/>
        <v>0</v>
      </c>
      <c r="BM29" s="39"/>
      <c r="BN29" s="39"/>
      <c r="BO29" s="39"/>
      <c r="BP29" s="39"/>
      <c r="BQ29" s="39"/>
      <c r="BR29" s="39"/>
      <c r="BS29" s="39"/>
      <c r="BT29" s="33">
        <f t="shared" si="48"/>
        <v>0</v>
      </c>
      <c r="BU29" s="33">
        <f t="shared" si="49"/>
        <v>0</v>
      </c>
      <c r="BV29" s="100">
        <f t="shared" si="50"/>
        <v>0</v>
      </c>
      <c r="BW29" s="99">
        <f t="shared" si="51"/>
        <v>0</v>
      </c>
      <c r="BX29" s="33">
        <f t="shared" si="52"/>
        <v>0</v>
      </c>
      <c r="BY29" s="98">
        <f t="shared" si="53"/>
        <v>0</v>
      </c>
      <c r="BZ29" s="36">
        <f t="shared" si="54"/>
        <v>43</v>
      </c>
      <c r="CA29" s="37">
        <f t="shared" si="55"/>
        <v>0</v>
      </c>
      <c r="CB29" s="38">
        <f t="shared" si="56"/>
        <v>52424.994072115383</v>
      </c>
      <c r="CC29" s="10">
        <f t="shared" si="61"/>
        <v>1219.1859086538461</v>
      </c>
      <c r="CD29" s="11">
        <f t="shared" si="62"/>
        <v>1625.5812115384615</v>
      </c>
    </row>
    <row r="30" spans="1:82" s="1" customFormat="1" ht="16.5" customHeight="1">
      <c r="A30" s="53"/>
      <c r="B30" s="54">
        <v>3</v>
      </c>
      <c r="C30" s="55">
        <v>18004089</v>
      </c>
      <c r="D30" s="96">
        <f>IF(C30="",0,VLOOKUP(C30,Conf!A:D,4,FALSE))</f>
        <v>319134.73416666669</v>
      </c>
      <c r="E30" s="56">
        <v>10</v>
      </c>
      <c r="F30" s="56">
        <v>10</v>
      </c>
      <c r="G30" s="56">
        <v>10</v>
      </c>
      <c r="H30" s="56">
        <v>10</v>
      </c>
      <c r="I30" s="56">
        <v>10</v>
      </c>
      <c r="J30" s="56">
        <v>10</v>
      </c>
      <c r="K30" s="56">
        <v>10</v>
      </c>
      <c r="L30" s="33">
        <f t="shared" si="23"/>
        <v>30</v>
      </c>
      <c r="M30" s="33">
        <f t="shared" si="24"/>
        <v>0</v>
      </c>
      <c r="N30" s="100">
        <f t="shared" si="25"/>
        <v>0</v>
      </c>
      <c r="O30" s="99">
        <f t="shared" si="26"/>
        <v>30</v>
      </c>
      <c r="P30" s="33">
        <f t="shared" si="27"/>
        <v>30</v>
      </c>
      <c r="Q30" s="56">
        <v>10</v>
      </c>
      <c r="R30" s="56">
        <v>7</v>
      </c>
      <c r="S30" s="56">
        <v>10</v>
      </c>
      <c r="T30" s="56">
        <v>7</v>
      </c>
      <c r="U30" s="56">
        <v>7</v>
      </c>
      <c r="V30" s="56">
        <v>10</v>
      </c>
      <c r="W30" s="56">
        <v>10</v>
      </c>
      <c r="X30" s="33">
        <f t="shared" si="28"/>
        <v>21</v>
      </c>
      <c r="Y30" s="33">
        <f t="shared" si="29"/>
        <v>0</v>
      </c>
      <c r="Z30" s="100">
        <f t="shared" si="30"/>
        <v>0</v>
      </c>
      <c r="AA30" s="99">
        <f t="shared" si="31"/>
        <v>21</v>
      </c>
      <c r="AB30" s="33">
        <f t="shared" si="32"/>
        <v>21</v>
      </c>
      <c r="AC30" s="56">
        <v>0</v>
      </c>
      <c r="AD30" s="56">
        <v>0</v>
      </c>
      <c r="AE30" s="56">
        <v>7</v>
      </c>
      <c r="AF30" s="56">
        <v>7</v>
      </c>
      <c r="AG30" s="56">
        <v>7</v>
      </c>
      <c r="AH30" s="56">
        <v>7</v>
      </c>
      <c r="AI30" s="56">
        <v>10</v>
      </c>
      <c r="AJ30" s="33">
        <f t="shared" si="33"/>
        <v>-2</v>
      </c>
      <c r="AK30" s="33">
        <f t="shared" si="34"/>
        <v>0</v>
      </c>
      <c r="AL30" s="100">
        <f t="shared" si="35"/>
        <v>0</v>
      </c>
      <c r="AM30" s="99">
        <f t="shared" si="36"/>
        <v>-2</v>
      </c>
      <c r="AN30" s="33">
        <f t="shared" si="37"/>
        <v>-2</v>
      </c>
      <c r="AO30" s="56">
        <v>10</v>
      </c>
      <c r="AP30" s="56">
        <v>0</v>
      </c>
      <c r="AQ30" s="56">
        <v>0</v>
      </c>
      <c r="AR30" s="56">
        <v>7</v>
      </c>
      <c r="AS30" s="56">
        <v>7</v>
      </c>
      <c r="AT30" s="56">
        <v>7</v>
      </c>
      <c r="AU30" s="56">
        <v>7</v>
      </c>
      <c r="AV30" s="33">
        <f t="shared" si="38"/>
        <v>-2</v>
      </c>
      <c r="AW30" s="33">
        <f t="shared" si="39"/>
        <v>0</v>
      </c>
      <c r="AX30" s="100">
        <f t="shared" si="40"/>
        <v>0</v>
      </c>
      <c r="AY30" s="99">
        <f t="shared" si="41"/>
        <v>-2</v>
      </c>
      <c r="AZ30" s="33">
        <f t="shared" si="42"/>
        <v>-2</v>
      </c>
      <c r="BA30" s="56"/>
      <c r="BB30" s="56"/>
      <c r="BC30" s="56"/>
      <c r="BD30" s="56"/>
      <c r="BE30" s="56"/>
      <c r="BF30" s="56"/>
      <c r="BG30" s="56"/>
      <c r="BH30" s="33">
        <f t="shared" si="43"/>
        <v>0</v>
      </c>
      <c r="BI30" s="33">
        <f t="shared" si="44"/>
        <v>0</v>
      </c>
      <c r="BJ30" s="100">
        <f t="shared" si="45"/>
        <v>0</v>
      </c>
      <c r="BK30" s="99">
        <f t="shared" si="46"/>
        <v>0</v>
      </c>
      <c r="BL30" s="33">
        <f t="shared" si="47"/>
        <v>0</v>
      </c>
      <c r="BM30" s="39"/>
      <c r="BN30" s="39"/>
      <c r="BO30" s="39"/>
      <c r="BP30" s="39"/>
      <c r="BQ30" s="39"/>
      <c r="BR30" s="39"/>
      <c r="BS30" s="39"/>
      <c r="BT30" s="33">
        <f t="shared" si="48"/>
        <v>0</v>
      </c>
      <c r="BU30" s="33">
        <f t="shared" si="49"/>
        <v>0</v>
      </c>
      <c r="BV30" s="100">
        <f t="shared" si="50"/>
        <v>0</v>
      </c>
      <c r="BW30" s="99">
        <f t="shared" si="51"/>
        <v>0</v>
      </c>
      <c r="BX30" s="33">
        <f t="shared" si="52"/>
        <v>0</v>
      </c>
      <c r="BY30" s="98">
        <f t="shared" si="53"/>
        <v>0</v>
      </c>
      <c r="BZ30" s="36">
        <f t="shared" si="54"/>
        <v>47</v>
      </c>
      <c r="CA30" s="37">
        <f t="shared" si="55"/>
        <v>0</v>
      </c>
      <c r="CB30" s="38">
        <f t="shared" si="56"/>
        <v>129801.91591586539</v>
      </c>
      <c r="CC30" s="10">
        <f>D30*12/2080*1.5</f>
        <v>2761.7428918269234</v>
      </c>
      <c r="CD30" s="11">
        <f>D30*12/2080*2</f>
        <v>3682.3238557692312</v>
      </c>
    </row>
    <row r="31" spans="1:82" s="1" customFormat="1" ht="16.5" customHeight="1">
      <c r="A31" s="53"/>
      <c r="B31" s="54"/>
      <c r="C31" s="55"/>
      <c r="D31" s="96">
        <f>IF(C31="",0,VLOOKUP(C31,Conf!A:D,4,FALSE))</f>
        <v>0</v>
      </c>
      <c r="E31" s="56"/>
      <c r="F31" s="56"/>
      <c r="G31" s="56"/>
      <c r="H31" s="56"/>
      <c r="I31" s="56"/>
      <c r="J31" s="56"/>
      <c r="K31" s="56"/>
      <c r="L31" s="33">
        <f t="shared" si="23"/>
        <v>0</v>
      </c>
      <c r="M31" s="33">
        <f t="shared" si="24"/>
        <v>0</v>
      </c>
      <c r="N31" s="100">
        <f t="shared" si="25"/>
        <v>0</v>
      </c>
      <c r="O31" s="99">
        <f t="shared" si="26"/>
        <v>0</v>
      </c>
      <c r="P31" s="33">
        <f t="shared" si="27"/>
        <v>0</v>
      </c>
      <c r="Q31" s="56"/>
      <c r="R31" s="56"/>
      <c r="S31" s="56"/>
      <c r="T31" s="56"/>
      <c r="U31" s="56"/>
      <c r="V31" s="56"/>
      <c r="W31" s="56"/>
      <c r="X31" s="33">
        <f t="shared" si="28"/>
        <v>0</v>
      </c>
      <c r="Y31" s="33">
        <f t="shared" si="29"/>
        <v>0</v>
      </c>
      <c r="Z31" s="100">
        <f t="shared" si="30"/>
        <v>0</v>
      </c>
      <c r="AA31" s="99">
        <f t="shared" si="31"/>
        <v>0</v>
      </c>
      <c r="AB31" s="33">
        <f t="shared" si="32"/>
        <v>0</v>
      </c>
      <c r="AC31" s="56"/>
      <c r="AD31" s="56"/>
      <c r="AE31" s="56"/>
      <c r="AF31" s="56"/>
      <c r="AG31" s="56"/>
      <c r="AH31" s="56"/>
      <c r="AI31" s="56"/>
      <c r="AJ31" s="33">
        <f t="shared" si="33"/>
        <v>0</v>
      </c>
      <c r="AK31" s="33">
        <f t="shared" si="34"/>
        <v>0</v>
      </c>
      <c r="AL31" s="100">
        <f t="shared" si="35"/>
        <v>0</v>
      </c>
      <c r="AM31" s="99">
        <f t="shared" si="36"/>
        <v>0</v>
      </c>
      <c r="AN31" s="33">
        <f t="shared" si="37"/>
        <v>0</v>
      </c>
      <c r="AO31" s="56"/>
      <c r="AP31" s="56"/>
      <c r="AQ31" s="56"/>
      <c r="AR31" s="56"/>
      <c r="AS31" s="56"/>
      <c r="AT31" s="56"/>
      <c r="AU31" s="56"/>
      <c r="AV31" s="33">
        <f t="shared" si="38"/>
        <v>0</v>
      </c>
      <c r="AW31" s="33">
        <f t="shared" si="39"/>
        <v>0</v>
      </c>
      <c r="AX31" s="100">
        <f t="shared" si="40"/>
        <v>0</v>
      </c>
      <c r="AY31" s="99">
        <f t="shared" si="41"/>
        <v>0</v>
      </c>
      <c r="AZ31" s="33">
        <f t="shared" si="42"/>
        <v>0</v>
      </c>
      <c r="BA31" s="56"/>
      <c r="BB31" s="56"/>
      <c r="BC31" s="56"/>
      <c r="BD31" s="56"/>
      <c r="BE31" s="56"/>
      <c r="BF31" s="56"/>
      <c r="BG31" s="56"/>
      <c r="BH31" s="33">
        <f t="shared" si="43"/>
        <v>0</v>
      </c>
      <c r="BI31" s="33">
        <f t="shared" si="44"/>
        <v>0</v>
      </c>
      <c r="BJ31" s="100">
        <f t="shared" si="45"/>
        <v>0</v>
      </c>
      <c r="BK31" s="99">
        <f t="shared" si="46"/>
        <v>0</v>
      </c>
      <c r="BL31" s="33">
        <f t="shared" si="47"/>
        <v>0</v>
      </c>
      <c r="BM31" s="39"/>
      <c r="BN31" s="39"/>
      <c r="BO31" s="39"/>
      <c r="BP31" s="39"/>
      <c r="BQ31" s="39"/>
      <c r="BR31" s="39"/>
      <c r="BS31" s="39"/>
      <c r="BT31" s="33">
        <f t="shared" si="48"/>
        <v>0</v>
      </c>
      <c r="BU31" s="33">
        <f t="shared" si="49"/>
        <v>0</v>
      </c>
      <c r="BV31" s="100">
        <f t="shared" si="50"/>
        <v>0</v>
      </c>
      <c r="BW31" s="99">
        <f t="shared" si="51"/>
        <v>0</v>
      </c>
      <c r="BX31" s="33">
        <f t="shared" si="52"/>
        <v>0</v>
      </c>
      <c r="BY31" s="98">
        <f t="shared" si="53"/>
        <v>0</v>
      </c>
      <c r="BZ31" s="36">
        <f t="shared" si="54"/>
        <v>0</v>
      </c>
      <c r="CA31" s="37">
        <f t="shared" si="55"/>
        <v>0</v>
      </c>
      <c r="CB31" s="38">
        <f t="shared" si="56"/>
        <v>0</v>
      </c>
      <c r="CC31" s="10">
        <f>D31*12/2080*1.5</f>
        <v>0</v>
      </c>
      <c r="CD31" s="11">
        <f>D31*12/2080*2</f>
        <v>0</v>
      </c>
    </row>
    <row r="32" spans="1:82" ht="16.5" customHeight="1">
      <c r="A32" s="53"/>
      <c r="B32" s="54"/>
      <c r="C32" s="55"/>
      <c r="D32" s="96">
        <f>IF(C32="",0,VLOOKUP(C32,Conf!A:D,4,FALSE))</f>
        <v>0</v>
      </c>
      <c r="E32" s="56"/>
      <c r="F32" s="56"/>
      <c r="G32" s="56"/>
      <c r="H32" s="56"/>
      <c r="I32" s="56"/>
      <c r="J32" s="56"/>
      <c r="K32" s="56"/>
      <c r="L32" s="33">
        <f t="shared" si="23"/>
        <v>0</v>
      </c>
      <c r="M32" s="33">
        <f t="shared" si="24"/>
        <v>0</v>
      </c>
      <c r="N32" s="100">
        <f t="shared" si="25"/>
        <v>0</v>
      </c>
      <c r="O32" s="99">
        <f t="shared" si="26"/>
        <v>0</v>
      </c>
      <c r="P32" s="33">
        <f t="shared" si="27"/>
        <v>0</v>
      </c>
      <c r="Q32" s="56"/>
      <c r="R32" s="56"/>
      <c r="S32" s="56"/>
      <c r="T32" s="56"/>
      <c r="U32" s="56"/>
      <c r="V32" s="56"/>
      <c r="W32" s="56"/>
      <c r="X32" s="33">
        <f t="shared" si="28"/>
        <v>0</v>
      </c>
      <c r="Y32" s="33">
        <f t="shared" si="29"/>
        <v>0</v>
      </c>
      <c r="Z32" s="100">
        <f t="shared" si="30"/>
        <v>0</v>
      </c>
      <c r="AA32" s="99">
        <f t="shared" si="31"/>
        <v>0</v>
      </c>
      <c r="AB32" s="33">
        <f t="shared" si="32"/>
        <v>0</v>
      </c>
      <c r="AC32" s="56"/>
      <c r="AD32" s="56"/>
      <c r="AE32" s="56"/>
      <c r="AF32" s="56"/>
      <c r="AG32" s="56"/>
      <c r="AH32" s="56"/>
      <c r="AI32" s="56"/>
      <c r="AJ32" s="33">
        <f t="shared" si="33"/>
        <v>0</v>
      </c>
      <c r="AK32" s="33">
        <f t="shared" si="34"/>
        <v>0</v>
      </c>
      <c r="AL32" s="100">
        <f t="shared" si="35"/>
        <v>0</v>
      </c>
      <c r="AM32" s="99">
        <f t="shared" si="36"/>
        <v>0</v>
      </c>
      <c r="AN32" s="33">
        <f t="shared" si="37"/>
        <v>0</v>
      </c>
      <c r="AO32" s="56"/>
      <c r="AP32" s="56"/>
      <c r="AQ32" s="56"/>
      <c r="AR32" s="56"/>
      <c r="AS32" s="56"/>
      <c r="AT32" s="56"/>
      <c r="AU32" s="56"/>
      <c r="AV32" s="33">
        <f t="shared" si="38"/>
        <v>0</v>
      </c>
      <c r="AW32" s="33">
        <f t="shared" si="39"/>
        <v>0</v>
      </c>
      <c r="AX32" s="100">
        <f t="shared" si="40"/>
        <v>0</v>
      </c>
      <c r="AY32" s="99">
        <f t="shared" si="41"/>
        <v>0</v>
      </c>
      <c r="AZ32" s="33">
        <f t="shared" si="42"/>
        <v>0</v>
      </c>
      <c r="BA32" s="56"/>
      <c r="BB32" s="56"/>
      <c r="BC32" s="56"/>
      <c r="BD32" s="56"/>
      <c r="BE32" s="56"/>
      <c r="BF32" s="56"/>
      <c r="BG32" s="56"/>
      <c r="BH32" s="33">
        <f t="shared" si="43"/>
        <v>0</v>
      </c>
      <c r="BI32" s="33">
        <f t="shared" si="44"/>
        <v>0</v>
      </c>
      <c r="BJ32" s="100">
        <f t="shared" si="45"/>
        <v>0</v>
      </c>
      <c r="BK32" s="99">
        <f t="shared" si="46"/>
        <v>0</v>
      </c>
      <c r="BL32" s="33">
        <f t="shared" si="47"/>
        <v>0</v>
      </c>
      <c r="BM32" s="39"/>
      <c r="BN32" s="39"/>
      <c r="BO32" s="39"/>
      <c r="BP32" s="39"/>
      <c r="BQ32" s="39"/>
      <c r="BR32" s="39"/>
      <c r="BS32" s="39"/>
      <c r="BT32" s="33">
        <f t="shared" si="48"/>
        <v>0</v>
      </c>
      <c r="BU32" s="33">
        <f t="shared" si="49"/>
        <v>0</v>
      </c>
      <c r="BV32" s="100">
        <f t="shared" si="50"/>
        <v>0</v>
      </c>
      <c r="BW32" s="99">
        <f t="shared" si="51"/>
        <v>0</v>
      </c>
      <c r="BX32" s="33">
        <f t="shared" si="52"/>
        <v>0</v>
      </c>
      <c r="BY32" s="98">
        <f t="shared" si="53"/>
        <v>0</v>
      </c>
      <c r="BZ32" s="36">
        <f t="shared" si="54"/>
        <v>0</v>
      </c>
      <c r="CA32" s="37">
        <f t="shared" si="55"/>
        <v>0</v>
      </c>
      <c r="CB32" s="38">
        <f t="shared" si="56"/>
        <v>0</v>
      </c>
      <c r="CC32" s="10">
        <f t="shared" si="61"/>
        <v>0</v>
      </c>
      <c r="CD32" s="11">
        <f t="shared" si="62"/>
        <v>0</v>
      </c>
    </row>
    <row r="33" spans="1:82" ht="16.5" customHeight="1">
      <c r="A33" s="53"/>
      <c r="B33" s="54"/>
      <c r="C33" s="55"/>
      <c r="D33" s="96">
        <f>IF(C33="",0,VLOOKUP(C33,Conf!A:D,4,FALSE))</f>
        <v>0</v>
      </c>
      <c r="E33" s="56"/>
      <c r="F33" s="56"/>
      <c r="G33" s="56"/>
      <c r="H33" s="56"/>
      <c r="I33" s="56"/>
      <c r="J33" s="56"/>
      <c r="K33" s="56"/>
      <c r="L33" s="33">
        <f t="shared" si="23"/>
        <v>0</v>
      </c>
      <c r="M33" s="33">
        <f t="shared" si="24"/>
        <v>0</v>
      </c>
      <c r="N33" s="100">
        <f t="shared" si="25"/>
        <v>0</v>
      </c>
      <c r="O33" s="99">
        <f t="shared" si="26"/>
        <v>0</v>
      </c>
      <c r="P33" s="33">
        <f t="shared" si="27"/>
        <v>0</v>
      </c>
      <c r="Q33" s="56"/>
      <c r="R33" s="56"/>
      <c r="S33" s="56"/>
      <c r="T33" s="56"/>
      <c r="U33" s="56"/>
      <c r="V33" s="56"/>
      <c r="W33" s="56"/>
      <c r="X33" s="33">
        <f t="shared" si="28"/>
        <v>0</v>
      </c>
      <c r="Y33" s="33">
        <f t="shared" si="29"/>
        <v>0</v>
      </c>
      <c r="Z33" s="100">
        <f t="shared" si="30"/>
        <v>0</v>
      </c>
      <c r="AA33" s="99">
        <f t="shared" si="31"/>
        <v>0</v>
      </c>
      <c r="AB33" s="33">
        <f t="shared" si="32"/>
        <v>0</v>
      </c>
      <c r="AC33" s="56"/>
      <c r="AD33" s="56"/>
      <c r="AE33" s="56"/>
      <c r="AF33" s="56"/>
      <c r="AG33" s="56"/>
      <c r="AH33" s="56"/>
      <c r="AI33" s="56"/>
      <c r="AJ33" s="33">
        <f t="shared" si="33"/>
        <v>0</v>
      </c>
      <c r="AK33" s="33">
        <f t="shared" si="34"/>
        <v>0</v>
      </c>
      <c r="AL33" s="100">
        <f t="shared" si="35"/>
        <v>0</v>
      </c>
      <c r="AM33" s="99">
        <f t="shared" si="36"/>
        <v>0</v>
      </c>
      <c r="AN33" s="33">
        <f t="shared" si="37"/>
        <v>0</v>
      </c>
      <c r="AO33" s="56"/>
      <c r="AP33" s="56"/>
      <c r="AQ33" s="56"/>
      <c r="AR33" s="56"/>
      <c r="AS33" s="56"/>
      <c r="AT33" s="56"/>
      <c r="AU33" s="56"/>
      <c r="AV33" s="33">
        <f t="shared" si="38"/>
        <v>0</v>
      </c>
      <c r="AW33" s="33">
        <f t="shared" si="39"/>
        <v>0</v>
      </c>
      <c r="AX33" s="100">
        <f t="shared" si="40"/>
        <v>0</v>
      </c>
      <c r="AY33" s="99">
        <f t="shared" si="41"/>
        <v>0</v>
      </c>
      <c r="AZ33" s="33">
        <f t="shared" si="42"/>
        <v>0</v>
      </c>
      <c r="BA33" s="56"/>
      <c r="BB33" s="56"/>
      <c r="BC33" s="56"/>
      <c r="BD33" s="56"/>
      <c r="BE33" s="56"/>
      <c r="BF33" s="56"/>
      <c r="BG33" s="56"/>
      <c r="BH33" s="33">
        <f t="shared" si="43"/>
        <v>0</v>
      </c>
      <c r="BI33" s="33">
        <f t="shared" si="44"/>
        <v>0</v>
      </c>
      <c r="BJ33" s="100">
        <f t="shared" si="45"/>
        <v>0</v>
      </c>
      <c r="BK33" s="99">
        <f t="shared" si="46"/>
        <v>0</v>
      </c>
      <c r="BL33" s="33">
        <f t="shared" si="47"/>
        <v>0</v>
      </c>
      <c r="BM33" s="39"/>
      <c r="BN33" s="39"/>
      <c r="BO33" s="39"/>
      <c r="BP33" s="39"/>
      <c r="BQ33" s="39"/>
      <c r="BR33" s="39"/>
      <c r="BS33" s="39"/>
      <c r="BT33" s="33">
        <f t="shared" si="48"/>
        <v>0</v>
      </c>
      <c r="BU33" s="33">
        <f t="shared" si="49"/>
        <v>0</v>
      </c>
      <c r="BV33" s="100">
        <f t="shared" si="50"/>
        <v>0</v>
      </c>
      <c r="BW33" s="99">
        <f t="shared" si="51"/>
        <v>0</v>
      </c>
      <c r="BX33" s="33">
        <f t="shared" si="52"/>
        <v>0</v>
      </c>
      <c r="BY33" s="98">
        <f t="shared" si="53"/>
        <v>0</v>
      </c>
      <c r="BZ33" s="36">
        <f t="shared" si="54"/>
        <v>0</v>
      </c>
      <c r="CA33" s="37">
        <f t="shared" si="55"/>
        <v>0</v>
      </c>
      <c r="CB33" s="38">
        <f t="shared" si="56"/>
        <v>0</v>
      </c>
      <c r="CC33" s="10">
        <f t="shared" si="61"/>
        <v>0</v>
      </c>
      <c r="CD33" s="11">
        <f t="shared" si="62"/>
        <v>0</v>
      </c>
    </row>
    <row r="34" spans="1:82" ht="16.5" customHeight="1">
      <c r="A34" s="53"/>
      <c r="B34" s="54"/>
      <c r="C34" s="55"/>
      <c r="D34" s="96">
        <f>IF(C34="",0,VLOOKUP(C34,Conf!A:D,4,FALSE))</f>
        <v>0</v>
      </c>
      <c r="E34" s="56"/>
      <c r="F34" s="56"/>
      <c r="G34" s="56"/>
      <c r="H34" s="56"/>
      <c r="I34" s="56"/>
      <c r="J34" s="56"/>
      <c r="K34" s="56"/>
      <c r="L34" s="33">
        <f t="shared" si="23"/>
        <v>0</v>
      </c>
      <c r="M34" s="33">
        <f t="shared" si="24"/>
        <v>0</v>
      </c>
      <c r="N34" s="100">
        <f t="shared" si="25"/>
        <v>0</v>
      </c>
      <c r="O34" s="99">
        <f t="shared" si="26"/>
        <v>0</v>
      </c>
      <c r="P34" s="33">
        <f t="shared" si="27"/>
        <v>0</v>
      </c>
      <c r="Q34" s="56"/>
      <c r="R34" s="56"/>
      <c r="S34" s="56"/>
      <c r="T34" s="56"/>
      <c r="U34" s="56"/>
      <c r="V34" s="56"/>
      <c r="W34" s="56"/>
      <c r="X34" s="33">
        <f t="shared" si="28"/>
        <v>0</v>
      </c>
      <c r="Y34" s="33">
        <f t="shared" si="29"/>
        <v>0</v>
      </c>
      <c r="Z34" s="100">
        <f t="shared" si="30"/>
        <v>0</v>
      </c>
      <c r="AA34" s="99">
        <f t="shared" si="31"/>
        <v>0</v>
      </c>
      <c r="AB34" s="33">
        <f t="shared" si="32"/>
        <v>0</v>
      </c>
      <c r="AC34" s="56"/>
      <c r="AD34" s="56"/>
      <c r="AE34" s="56"/>
      <c r="AF34" s="56"/>
      <c r="AG34" s="56"/>
      <c r="AH34" s="56"/>
      <c r="AI34" s="56"/>
      <c r="AJ34" s="33">
        <f t="shared" si="33"/>
        <v>0</v>
      </c>
      <c r="AK34" s="33">
        <f t="shared" si="34"/>
        <v>0</v>
      </c>
      <c r="AL34" s="100">
        <f t="shared" si="35"/>
        <v>0</v>
      </c>
      <c r="AM34" s="99">
        <f t="shared" si="36"/>
        <v>0</v>
      </c>
      <c r="AN34" s="33">
        <f t="shared" si="37"/>
        <v>0</v>
      </c>
      <c r="AO34" s="56"/>
      <c r="AP34" s="56"/>
      <c r="AQ34" s="56"/>
      <c r="AR34" s="56"/>
      <c r="AS34" s="56"/>
      <c r="AT34" s="56"/>
      <c r="AU34" s="56"/>
      <c r="AV34" s="33">
        <f t="shared" si="38"/>
        <v>0</v>
      </c>
      <c r="AW34" s="33">
        <f t="shared" si="39"/>
        <v>0</v>
      </c>
      <c r="AX34" s="100">
        <f t="shared" si="40"/>
        <v>0</v>
      </c>
      <c r="AY34" s="99">
        <f t="shared" si="41"/>
        <v>0</v>
      </c>
      <c r="AZ34" s="33">
        <f t="shared" si="42"/>
        <v>0</v>
      </c>
      <c r="BA34" s="56"/>
      <c r="BB34" s="56"/>
      <c r="BC34" s="56"/>
      <c r="BD34" s="56"/>
      <c r="BE34" s="56"/>
      <c r="BF34" s="56"/>
      <c r="BG34" s="56"/>
      <c r="BH34" s="33">
        <f t="shared" si="43"/>
        <v>0</v>
      </c>
      <c r="BI34" s="33">
        <f t="shared" si="44"/>
        <v>0</v>
      </c>
      <c r="BJ34" s="100">
        <f t="shared" si="45"/>
        <v>0</v>
      </c>
      <c r="BK34" s="99">
        <f t="shared" si="46"/>
        <v>0</v>
      </c>
      <c r="BL34" s="33">
        <f t="shared" si="47"/>
        <v>0</v>
      </c>
      <c r="BM34" s="39"/>
      <c r="BN34" s="39"/>
      <c r="BO34" s="39"/>
      <c r="BP34" s="39"/>
      <c r="BQ34" s="39"/>
      <c r="BR34" s="39"/>
      <c r="BS34" s="39"/>
      <c r="BT34" s="33">
        <f t="shared" si="48"/>
        <v>0</v>
      </c>
      <c r="BU34" s="33">
        <f t="shared" si="49"/>
        <v>0</v>
      </c>
      <c r="BV34" s="100">
        <f t="shared" si="50"/>
        <v>0</v>
      </c>
      <c r="BW34" s="99">
        <f t="shared" si="51"/>
        <v>0</v>
      </c>
      <c r="BX34" s="33">
        <f t="shared" si="52"/>
        <v>0</v>
      </c>
      <c r="BY34" s="98">
        <f t="shared" si="53"/>
        <v>0</v>
      </c>
      <c r="BZ34" s="36">
        <f t="shared" si="54"/>
        <v>0</v>
      </c>
      <c r="CA34" s="37">
        <f t="shared" si="55"/>
        <v>0</v>
      </c>
      <c r="CB34" s="38">
        <f t="shared" si="56"/>
        <v>0</v>
      </c>
      <c r="CC34" s="10">
        <f t="shared" si="61"/>
        <v>0</v>
      </c>
      <c r="CD34" s="11">
        <f t="shared" si="62"/>
        <v>0</v>
      </c>
    </row>
    <row r="35" spans="1:82" ht="16.5" customHeight="1">
      <c r="A35" s="53"/>
      <c r="B35" s="54"/>
      <c r="C35" s="55"/>
      <c r="D35" s="96">
        <f>IF(C35="",0,VLOOKUP(C35,Conf!A:D,4,FALSE))</f>
        <v>0</v>
      </c>
      <c r="E35" s="56"/>
      <c r="F35" s="56"/>
      <c r="G35" s="56"/>
      <c r="H35" s="56"/>
      <c r="I35" s="56"/>
      <c r="J35" s="56"/>
      <c r="K35" s="56"/>
      <c r="L35" s="33">
        <f t="shared" si="23"/>
        <v>0</v>
      </c>
      <c r="M35" s="33">
        <f t="shared" si="24"/>
        <v>0</v>
      </c>
      <c r="N35" s="100">
        <f t="shared" si="25"/>
        <v>0</v>
      </c>
      <c r="O35" s="99">
        <f t="shared" si="26"/>
        <v>0</v>
      </c>
      <c r="P35" s="33">
        <f t="shared" si="27"/>
        <v>0</v>
      </c>
      <c r="Q35" s="56"/>
      <c r="R35" s="56"/>
      <c r="S35" s="56"/>
      <c r="T35" s="56"/>
      <c r="U35" s="56"/>
      <c r="V35" s="56"/>
      <c r="W35" s="56"/>
      <c r="X35" s="33">
        <f t="shared" si="28"/>
        <v>0</v>
      </c>
      <c r="Y35" s="33">
        <f t="shared" si="29"/>
        <v>0</v>
      </c>
      <c r="Z35" s="100">
        <f t="shared" si="30"/>
        <v>0</v>
      </c>
      <c r="AA35" s="99">
        <f t="shared" si="31"/>
        <v>0</v>
      </c>
      <c r="AB35" s="33">
        <f t="shared" si="32"/>
        <v>0</v>
      </c>
      <c r="AC35" s="56"/>
      <c r="AD35" s="56"/>
      <c r="AE35" s="56"/>
      <c r="AF35" s="56"/>
      <c r="AG35" s="56"/>
      <c r="AH35" s="56"/>
      <c r="AI35" s="56"/>
      <c r="AJ35" s="33">
        <f t="shared" si="33"/>
        <v>0</v>
      </c>
      <c r="AK35" s="33">
        <f t="shared" si="34"/>
        <v>0</v>
      </c>
      <c r="AL35" s="100">
        <f t="shared" si="35"/>
        <v>0</v>
      </c>
      <c r="AM35" s="99">
        <f t="shared" si="36"/>
        <v>0</v>
      </c>
      <c r="AN35" s="33">
        <f t="shared" si="37"/>
        <v>0</v>
      </c>
      <c r="AO35" s="56"/>
      <c r="AP35" s="56"/>
      <c r="AQ35" s="56"/>
      <c r="AR35" s="56"/>
      <c r="AS35" s="56"/>
      <c r="AT35" s="56"/>
      <c r="AU35" s="56"/>
      <c r="AV35" s="33">
        <f t="shared" si="38"/>
        <v>0</v>
      </c>
      <c r="AW35" s="33">
        <f t="shared" si="39"/>
        <v>0</v>
      </c>
      <c r="AX35" s="100">
        <f t="shared" si="40"/>
        <v>0</v>
      </c>
      <c r="AY35" s="99">
        <f t="shared" si="41"/>
        <v>0</v>
      </c>
      <c r="AZ35" s="33">
        <f t="shared" si="42"/>
        <v>0</v>
      </c>
      <c r="BA35" s="56"/>
      <c r="BB35" s="56"/>
      <c r="BC35" s="56"/>
      <c r="BD35" s="56"/>
      <c r="BE35" s="56"/>
      <c r="BF35" s="56"/>
      <c r="BG35" s="56"/>
      <c r="BH35" s="33">
        <f t="shared" si="43"/>
        <v>0</v>
      </c>
      <c r="BI35" s="33">
        <f t="shared" si="44"/>
        <v>0</v>
      </c>
      <c r="BJ35" s="100">
        <f t="shared" si="45"/>
        <v>0</v>
      </c>
      <c r="BK35" s="99">
        <f t="shared" si="46"/>
        <v>0</v>
      </c>
      <c r="BL35" s="33">
        <f t="shared" si="47"/>
        <v>0</v>
      </c>
      <c r="BM35" s="39"/>
      <c r="BN35" s="39"/>
      <c r="BO35" s="39"/>
      <c r="BP35" s="39"/>
      <c r="BQ35" s="39"/>
      <c r="BR35" s="39"/>
      <c r="BS35" s="39"/>
      <c r="BT35" s="33">
        <f t="shared" si="48"/>
        <v>0</v>
      </c>
      <c r="BU35" s="33">
        <f t="shared" si="49"/>
        <v>0</v>
      </c>
      <c r="BV35" s="100">
        <f t="shared" si="50"/>
        <v>0</v>
      </c>
      <c r="BW35" s="99">
        <f t="shared" si="51"/>
        <v>0</v>
      </c>
      <c r="BX35" s="33">
        <f t="shared" si="52"/>
        <v>0</v>
      </c>
      <c r="BY35" s="98">
        <f t="shared" si="53"/>
        <v>0</v>
      </c>
      <c r="BZ35" s="36">
        <f t="shared" si="54"/>
        <v>0</v>
      </c>
      <c r="CA35" s="37">
        <f t="shared" si="55"/>
        <v>0</v>
      </c>
      <c r="CB35" s="38">
        <f t="shared" si="56"/>
        <v>0</v>
      </c>
      <c r="CC35" s="10">
        <f t="shared" si="61"/>
        <v>0</v>
      </c>
      <c r="CD35" s="11">
        <f t="shared" si="62"/>
        <v>0</v>
      </c>
    </row>
    <row r="36" spans="1:82" ht="16.5" customHeight="1">
      <c r="A36" s="53"/>
      <c r="B36" s="53"/>
      <c r="C36" s="55"/>
      <c r="D36" s="96">
        <f>IF(C36="",0,VLOOKUP(C36,Conf!A:D,4,FALSE))</f>
        <v>0</v>
      </c>
      <c r="E36" s="56"/>
      <c r="F36" s="56"/>
      <c r="G36" s="56"/>
      <c r="H36" s="56"/>
      <c r="I36" s="56"/>
      <c r="J36" s="56"/>
      <c r="K36" s="56"/>
      <c r="L36" s="33">
        <f t="shared" si="23"/>
        <v>0</v>
      </c>
      <c r="M36" s="33">
        <f t="shared" si="24"/>
        <v>0</v>
      </c>
      <c r="N36" s="100">
        <f t="shared" si="25"/>
        <v>0</v>
      </c>
      <c r="O36" s="99">
        <f t="shared" si="26"/>
        <v>0</v>
      </c>
      <c r="P36" s="33">
        <f t="shared" si="27"/>
        <v>0</v>
      </c>
      <c r="Q36" s="56"/>
      <c r="R36" s="56"/>
      <c r="S36" s="56"/>
      <c r="T36" s="56"/>
      <c r="U36" s="56"/>
      <c r="V36" s="56"/>
      <c r="W36" s="56"/>
      <c r="X36" s="33">
        <f t="shared" si="28"/>
        <v>0</v>
      </c>
      <c r="Y36" s="33">
        <f t="shared" si="29"/>
        <v>0</v>
      </c>
      <c r="Z36" s="100">
        <f t="shared" si="30"/>
        <v>0</v>
      </c>
      <c r="AA36" s="99">
        <f t="shared" si="31"/>
        <v>0</v>
      </c>
      <c r="AB36" s="33">
        <f t="shared" si="32"/>
        <v>0</v>
      </c>
      <c r="AC36" s="56"/>
      <c r="AD36" s="56"/>
      <c r="AE36" s="56"/>
      <c r="AF36" s="56"/>
      <c r="AG36" s="56"/>
      <c r="AH36" s="56"/>
      <c r="AI36" s="56"/>
      <c r="AJ36" s="33">
        <f t="shared" si="33"/>
        <v>0</v>
      </c>
      <c r="AK36" s="33">
        <f t="shared" si="34"/>
        <v>0</v>
      </c>
      <c r="AL36" s="100">
        <f t="shared" si="35"/>
        <v>0</v>
      </c>
      <c r="AM36" s="99">
        <f t="shared" si="36"/>
        <v>0</v>
      </c>
      <c r="AN36" s="33">
        <f t="shared" si="37"/>
        <v>0</v>
      </c>
      <c r="AO36" s="56"/>
      <c r="AP36" s="56"/>
      <c r="AQ36" s="56"/>
      <c r="AR36" s="56"/>
      <c r="AS36" s="56"/>
      <c r="AT36" s="56"/>
      <c r="AU36" s="56"/>
      <c r="AV36" s="33">
        <f t="shared" si="38"/>
        <v>0</v>
      </c>
      <c r="AW36" s="33">
        <f t="shared" si="39"/>
        <v>0</v>
      </c>
      <c r="AX36" s="100">
        <f t="shared" si="40"/>
        <v>0</v>
      </c>
      <c r="AY36" s="99">
        <f t="shared" si="41"/>
        <v>0</v>
      </c>
      <c r="AZ36" s="33">
        <f t="shared" si="42"/>
        <v>0</v>
      </c>
      <c r="BA36" s="56"/>
      <c r="BB36" s="56"/>
      <c r="BC36" s="56"/>
      <c r="BD36" s="56"/>
      <c r="BE36" s="56"/>
      <c r="BF36" s="56"/>
      <c r="BG36" s="56"/>
      <c r="BH36" s="33">
        <f t="shared" si="43"/>
        <v>0</v>
      </c>
      <c r="BI36" s="33">
        <f t="shared" si="44"/>
        <v>0</v>
      </c>
      <c r="BJ36" s="100">
        <f t="shared" si="45"/>
        <v>0</v>
      </c>
      <c r="BK36" s="99">
        <f t="shared" si="46"/>
        <v>0</v>
      </c>
      <c r="BL36" s="33">
        <f t="shared" si="47"/>
        <v>0</v>
      </c>
      <c r="BM36" s="39"/>
      <c r="BN36" s="39"/>
      <c r="BO36" s="39"/>
      <c r="BP36" s="39"/>
      <c r="BQ36" s="39"/>
      <c r="BR36" s="39"/>
      <c r="BS36" s="39"/>
      <c r="BT36" s="33">
        <f t="shared" si="48"/>
        <v>0</v>
      </c>
      <c r="BU36" s="33">
        <f t="shared" si="49"/>
        <v>0</v>
      </c>
      <c r="BV36" s="100">
        <f t="shared" si="50"/>
        <v>0</v>
      </c>
      <c r="BW36" s="99">
        <f t="shared" si="51"/>
        <v>0</v>
      </c>
      <c r="BX36" s="33">
        <f t="shared" si="52"/>
        <v>0</v>
      </c>
      <c r="BY36" s="98">
        <f t="shared" si="53"/>
        <v>0</v>
      </c>
      <c r="BZ36" s="36">
        <f t="shared" si="54"/>
        <v>0</v>
      </c>
      <c r="CA36" s="37">
        <f t="shared" si="55"/>
        <v>0</v>
      </c>
      <c r="CB36" s="38">
        <f t="shared" si="56"/>
        <v>0</v>
      </c>
      <c r="CC36" s="10">
        <f t="shared" si="61"/>
        <v>0</v>
      </c>
      <c r="CD36" s="11">
        <f t="shared" si="62"/>
        <v>0</v>
      </c>
    </row>
    <row r="37" spans="1:82" ht="16.5" customHeight="1">
      <c r="A37" s="53"/>
      <c r="B37" s="53"/>
      <c r="C37" s="55"/>
      <c r="D37" s="96">
        <f>IF(C37="",0,VLOOKUP(C37,Conf!A:D,4,FALSE))</f>
        <v>0</v>
      </c>
      <c r="E37" s="56"/>
      <c r="F37" s="56"/>
      <c r="G37" s="56"/>
      <c r="H37" s="56"/>
      <c r="I37" s="56"/>
      <c r="J37" s="56"/>
      <c r="K37" s="56"/>
      <c r="L37" s="33">
        <f t="shared" si="23"/>
        <v>0</v>
      </c>
      <c r="M37" s="33">
        <f t="shared" si="24"/>
        <v>0</v>
      </c>
      <c r="N37" s="100">
        <f t="shared" si="25"/>
        <v>0</v>
      </c>
      <c r="O37" s="99">
        <f t="shared" si="26"/>
        <v>0</v>
      </c>
      <c r="P37" s="33">
        <f t="shared" si="27"/>
        <v>0</v>
      </c>
      <c r="Q37" s="56"/>
      <c r="R37" s="56"/>
      <c r="S37" s="56"/>
      <c r="T37" s="56"/>
      <c r="U37" s="56"/>
      <c r="V37" s="56"/>
      <c r="W37" s="56"/>
      <c r="X37" s="33">
        <f t="shared" si="28"/>
        <v>0</v>
      </c>
      <c r="Y37" s="33">
        <f t="shared" si="29"/>
        <v>0</v>
      </c>
      <c r="Z37" s="100">
        <f t="shared" si="30"/>
        <v>0</v>
      </c>
      <c r="AA37" s="99">
        <f t="shared" si="31"/>
        <v>0</v>
      </c>
      <c r="AB37" s="33">
        <f t="shared" si="32"/>
        <v>0</v>
      </c>
      <c r="AC37" s="56"/>
      <c r="AD37" s="56"/>
      <c r="AE37" s="56"/>
      <c r="AF37" s="56"/>
      <c r="AG37" s="56"/>
      <c r="AH37" s="56"/>
      <c r="AI37" s="56"/>
      <c r="AJ37" s="33">
        <f t="shared" si="33"/>
        <v>0</v>
      </c>
      <c r="AK37" s="33">
        <f t="shared" si="34"/>
        <v>0</v>
      </c>
      <c r="AL37" s="100">
        <f t="shared" si="35"/>
        <v>0</v>
      </c>
      <c r="AM37" s="99">
        <f t="shared" si="36"/>
        <v>0</v>
      </c>
      <c r="AN37" s="33">
        <f t="shared" si="37"/>
        <v>0</v>
      </c>
      <c r="AO37" s="56"/>
      <c r="AP37" s="56"/>
      <c r="AQ37" s="56"/>
      <c r="AR37" s="56"/>
      <c r="AS37" s="56"/>
      <c r="AT37" s="56"/>
      <c r="AU37" s="56"/>
      <c r="AV37" s="33">
        <f t="shared" si="38"/>
        <v>0</v>
      </c>
      <c r="AW37" s="33">
        <f t="shared" si="39"/>
        <v>0</v>
      </c>
      <c r="AX37" s="100">
        <f t="shared" si="40"/>
        <v>0</v>
      </c>
      <c r="AY37" s="99">
        <f t="shared" si="41"/>
        <v>0</v>
      </c>
      <c r="AZ37" s="33">
        <f t="shared" si="42"/>
        <v>0</v>
      </c>
      <c r="BA37" s="56"/>
      <c r="BB37" s="56"/>
      <c r="BC37" s="56"/>
      <c r="BD37" s="56"/>
      <c r="BE37" s="56"/>
      <c r="BF37" s="56"/>
      <c r="BG37" s="56"/>
      <c r="BH37" s="33">
        <f t="shared" si="43"/>
        <v>0</v>
      </c>
      <c r="BI37" s="33">
        <f t="shared" si="44"/>
        <v>0</v>
      </c>
      <c r="BJ37" s="100">
        <f t="shared" si="45"/>
        <v>0</v>
      </c>
      <c r="BK37" s="99">
        <f t="shared" si="46"/>
        <v>0</v>
      </c>
      <c r="BL37" s="33">
        <f t="shared" si="47"/>
        <v>0</v>
      </c>
      <c r="BM37" s="39"/>
      <c r="BN37" s="39"/>
      <c r="BO37" s="39"/>
      <c r="BP37" s="39"/>
      <c r="BQ37" s="39"/>
      <c r="BR37" s="39"/>
      <c r="BS37" s="39"/>
      <c r="BT37" s="33">
        <f t="shared" si="48"/>
        <v>0</v>
      </c>
      <c r="BU37" s="33">
        <f t="shared" si="49"/>
        <v>0</v>
      </c>
      <c r="BV37" s="100">
        <f t="shared" si="50"/>
        <v>0</v>
      </c>
      <c r="BW37" s="99">
        <f t="shared" si="51"/>
        <v>0</v>
      </c>
      <c r="BX37" s="33">
        <f t="shared" si="52"/>
        <v>0</v>
      </c>
      <c r="BY37" s="98">
        <f t="shared" si="53"/>
        <v>0</v>
      </c>
      <c r="BZ37" s="36">
        <f t="shared" si="54"/>
        <v>0</v>
      </c>
      <c r="CA37" s="37">
        <f t="shared" si="55"/>
        <v>0</v>
      </c>
      <c r="CB37" s="38">
        <f t="shared" si="56"/>
        <v>0</v>
      </c>
      <c r="CC37" s="10">
        <f t="shared" si="61"/>
        <v>0</v>
      </c>
      <c r="CD37" s="11">
        <f t="shared" si="62"/>
        <v>0</v>
      </c>
    </row>
    <row r="38" spans="1:82" ht="16.5" customHeight="1">
      <c r="A38" s="53"/>
      <c r="B38" s="53"/>
      <c r="C38" s="55"/>
      <c r="D38" s="96">
        <f>IF(C38="",0,VLOOKUP(C38,Conf!A:D,4,FALSE))</f>
        <v>0</v>
      </c>
      <c r="E38" s="56"/>
      <c r="F38" s="56"/>
      <c r="G38" s="56"/>
      <c r="H38" s="56"/>
      <c r="I38" s="56"/>
      <c r="J38" s="56"/>
      <c r="K38" s="56"/>
      <c r="L38" s="33">
        <f t="shared" si="23"/>
        <v>0</v>
      </c>
      <c r="M38" s="33">
        <f t="shared" si="24"/>
        <v>0</v>
      </c>
      <c r="N38" s="100">
        <f t="shared" si="25"/>
        <v>0</v>
      </c>
      <c r="O38" s="99">
        <f t="shared" si="26"/>
        <v>0</v>
      </c>
      <c r="P38" s="33">
        <f t="shared" si="27"/>
        <v>0</v>
      </c>
      <c r="Q38" s="56"/>
      <c r="R38" s="56"/>
      <c r="S38" s="56"/>
      <c r="T38" s="56"/>
      <c r="U38" s="56"/>
      <c r="V38" s="56"/>
      <c r="W38" s="56"/>
      <c r="X38" s="33">
        <f t="shared" si="28"/>
        <v>0</v>
      </c>
      <c r="Y38" s="33">
        <f t="shared" si="29"/>
        <v>0</v>
      </c>
      <c r="Z38" s="100">
        <f t="shared" si="30"/>
        <v>0</v>
      </c>
      <c r="AA38" s="99">
        <f t="shared" si="31"/>
        <v>0</v>
      </c>
      <c r="AB38" s="33">
        <f t="shared" si="32"/>
        <v>0</v>
      </c>
      <c r="AC38" s="56"/>
      <c r="AD38" s="56"/>
      <c r="AE38" s="56"/>
      <c r="AF38" s="56"/>
      <c r="AG38" s="56"/>
      <c r="AH38" s="56"/>
      <c r="AI38" s="56"/>
      <c r="AJ38" s="33">
        <f t="shared" si="33"/>
        <v>0</v>
      </c>
      <c r="AK38" s="33">
        <f t="shared" si="34"/>
        <v>0</v>
      </c>
      <c r="AL38" s="100">
        <f t="shared" si="35"/>
        <v>0</v>
      </c>
      <c r="AM38" s="99">
        <f t="shared" si="36"/>
        <v>0</v>
      </c>
      <c r="AN38" s="33">
        <f t="shared" si="37"/>
        <v>0</v>
      </c>
      <c r="AO38" s="56"/>
      <c r="AP38" s="56"/>
      <c r="AQ38" s="56"/>
      <c r="AR38" s="56"/>
      <c r="AS38" s="56"/>
      <c r="AT38" s="56"/>
      <c r="AU38" s="56"/>
      <c r="AV38" s="33">
        <f t="shared" si="38"/>
        <v>0</v>
      </c>
      <c r="AW38" s="33">
        <f t="shared" si="39"/>
        <v>0</v>
      </c>
      <c r="AX38" s="100">
        <f t="shared" si="40"/>
        <v>0</v>
      </c>
      <c r="AY38" s="99">
        <f t="shared" si="41"/>
        <v>0</v>
      </c>
      <c r="AZ38" s="33">
        <f t="shared" si="42"/>
        <v>0</v>
      </c>
      <c r="BA38" s="56"/>
      <c r="BB38" s="56"/>
      <c r="BC38" s="56"/>
      <c r="BD38" s="56"/>
      <c r="BE38" s="56"/>
      <c r="BF38" s="56"/>
      <c r="BG38" s="56"/>
      <c r="BH38" s="33">
        <f t="shared" si="43"/>
        <v>0</v>
      </c>
      <c r="BI38" s="33">
        <f t="shared" si="44"/>
        <v>0</v>
      </c>
      <c r="BJ38" s="100">
        <f t="shared" si="45"/>
        <v>0</v>
      </c>
      <c r="BK38" s="99">
        <f t="shared" si="46"/>
        <v>0</v>
      </c>
      <c r="BL38" s="33">
        <f t="shared" si="47"/>
        <v>0</v>
      </c>
      <c r="BM38" s="39"/>
      <c r="BN38" s="39"/>
      <c r="BO38" s="39"/>
      <c r="BP38" s="39"/>
      <c r="BQ38" s="39"/>
      <c r="BR38" s="39"/>
      <c r="BS38" s="39"/>
      <c r="BT38" s="33">
        <f t="shared" si="48"/>
        <v>0</v>
      </c>
      <c r="BU38" s="33">
        <f t="shared" si="49"/>
        <v>0</v>
      </c>
      <c r="BV38" s="100">
        <f t="shared" si="50"/>
        <v>0</v>
      </c>
      <c r="BW38" s="99">
        <f t="shared" si="51"/>
        <v>0</v>
      </c>
      <c r="BX38" s="33">
        <f t="shared" si="52"/>
        <v>0</v>
      </c>
      <c r="BY38" s="98">
        <f t="shared" si="53"/>
        <v>0</v>
      </c>
      <c r="BZ38" s="36">
        <f t="shared" si="54"/>
        <v>0</v>
      </c>
      <c r="CA38" s="37">
        <f t="shared" si="55"/>
        <v>0</v>
      </c>
      <c r="CB38" s="38">
        <f t="shared" si="56"/>
        <v>0</v>
      </c>
      <c r="CC38" s="10">
        <f t="shared" si="61"/>
        <v>0</v>
      </c>
      <c r="CD38" s="11">
        <f t="shared" si="62"/>
        <v>0</v>
      </c>
    </row>
    <row r="39" spans="1:82" ht="16.5" customHeight="1">
      <c r="A39" s="53"/>
      <c r="B39" s="53"/>
      <c r="C39" s="55"/>
      <c r="D39" s="96">
        <f>IF(C39="",0,VLOOKUP(C39,Conf!A:D,4,FALSE))</f>
        <v>0</v>
      </c>
      <c r="E39" s="56"/>
      <c r="F39" s="56"/>
      <c r="G39" s="56"/>
      <c r="H39" s="56"/>
      <c r="I39" s="56"/>
      <c r="J39" s="56"/>
      <c r="K39" s="56"/>
      <c r="L39" s="33">
        <f t="shared" si="23"/>
        <v>0</v>
      </c>
      <c r="M39" s="33">
        <f t="shared" si="24"/>
        <v>0</v>
      </c>
      <c r="N39" s="100">
        <f t="shared" si="25"/>
        <v>0</v>
      </c>
      <c r="O39" s="99">
        <f t="shared" si="26"/>
        <v>0</v>
      </c>
      <c r="P39" s="33">
        <f t="shared" si="27"/>
        <v>0</v>
      </c>
      <c r="Q39" s="56"/>
      <c r="R39" s="56"/>
      <c r="S39" s="56"/>
      <c r="T39" s="56"/>
      <c r="U39" s="56"/>
      <c r="V39" s="56"/>
      <c r="W39" s="56"/>
      <c r="X39" s="33">
        <f t="shared" si="28"/>
        <v>0</v>
      </c>
      <c r="Y39" s="33">
        <f t="shared" si="29"/>
        <v>0</v>
      </c>
      <c r="Z39" s="100">
        <f t="shared" si="30"/>
        <v>0</v>
      </c>
      <c r="AA39" s="99">
        <f t="shared" si="31"/>
        <v>0</v>
      </c>
      <c r="AB39" s="33">
        <f t="shared" si="32"/>
        <v>0</v>
      </c>
      <c r="AC39" s="56"/>
      <c r="AD39" s="56"/>
      <c r="AE39" s="56"/>
      <c r="AF39" s="56"/>
      <c r="AG39" s="56"/>
      <c r="AH39" s="56"/>
      <c r="AI39" s="56"/>
      <c r="AJ39" s="33">
        <f t="shared" si="33"/>
        <v>0</v>
      </c>
      <c r="AK39" s="33">
        <f t="shared" si="34"/>
        <v>0</v>
      </c>
      <c r="AL39" s="100">
        <f t="shared" si="35"/>
        <v>0</v>
      </c>
      <c r="AM39" s="99">
        <f t="shared" si="36"/>
        <v>0</v>
      </c>
      <c r="AN39" s="33">
        <f t="shared" si="37"/>
        <v>0</v>
      </c>
      <c r="AO39" s="56"/>
      <c r="AP39" s="56"/>
      <c r="AQ39" s="56"/>
      <c r="AR39" s="56"/>
      <c r="AS39" s="56"/>
      <c r="AT39" s="56"/>
      <c r="AU39" s="56"/>
      <c r="AV39" s="33">
        <f t="shared" si="38"/>
        <v>0</v>
      </c>
      <c r="AW39" s="33">
        <f t="shared" si="39"/>
        <v>0</v>
      </c>
      <c r="AX39" s="100">
        <f t="shared" si="40"/>
        <v>0</v>
      </c>
      <c r="AY39" s="99">
        <f t="shared" si="41"/>
        <v>0</v>
      </c>
      <c r="AZ39" s="33">
        <f t="shared" si="42"/>
        <v>0</v>
      </c>
      <c r="BA39" s="56"/>
      <c r="BB39" s="56"/>
      <c r="BC39" s="56"/>
      <c r="BD39" s="56"/>
      <c r="BE39" s="56"/>
      <c r="BF39" s="56"/>
      <c r="BG39" s="56"/>
      <c r="BH39" s="33">
        <f t="shared" si="43"/>
        <v>0</v>
      </c>
      <c r="BI39" s="33">
        <f t="shared" si="44"/>
        <v>0</v>
      </c>
      <c r="BJ39" s="100">
        <f t="shared" si="45"/>
        <v>0</v>
      </c>
      <c r="BK39" s="99">
        <f t="shared" si="46"/>
        <v>0</v>
      </c>
      <c r="BL39" s="33">
        <f t="shared" si="47"/>
        <v>0</v>
      </c>
      <c r="BM39" s="39"/>
      <c r="BN39" s="39"/>
      <c r="BO39" s="39"/>
      <c r="BP39" s="39"/>
      <c r="BQ39" s="39"/>
      <c r="BR39" s="39"/>
      <c r="BS39" s="39"/>
      <c r="BT39" s="33">
        <f t="shared" si="48"/>
        <v>0</v>
      </c>
      <c r="BU39" s="33">
        <f t="shared" si="49"/>
        <v>0</v>
      </c>
      <c r="BV39" s="100">
        <f t="shared" si="50"/>
        <v>0</v>
      </c>
      <c r="BW39" s="99">
        <f t="shared" si="51"/>
        <v>0</v>
      </c>
      <c r="BX39" s="33">
        <f t="shared" si="52"/>
        <v>0</v>
      </c>
      <c r="BY39" s="98">
        <f t="shared" si="53"/>
        <v>0</v>
      </c>
      <c r="BZ39" s="36">
        <f t="shared" si="54"/>
        <v>0</v>
      </c>
      <c r="CA39" s="37">
        <f t="shared" si="55"/>
        <v>0</v>
      </c>
      <c r="CB39" s="38">
        <f t="shared" si="56"/>
        <v>0</v>
      </c>
      <c r="CC39" s="10">
        <f t="shared" si="61"/>
        <v>0</v>
      </c>
      <c r="CD39" s="11">
        <f t="shared" si="62"/>
        <v>0</v>
      </c>
    </row>
    <row r="40" spans="1:82" ht="16.5" customHeight="1">
      <c r="A40" s="53"/>
      <c r="B40" s="53"/>
      <c r="C40" s="55"/>
      <c r="D40" s="96">
        <f>IF(C40="",0,VLOOKUP(C40,Conf!A:D,4,FALSE))</f>
        <v>0</v>
      </c>
      <c r="E40" s="56"/>
      <c r="F40" s="56"/>
      <c r="G40" s="56"/>
      <c r="H40" s="56"/>
      <c r="I40" s="56"/>
      <c r="J40" s="56"/>
      <c r="K40" s="56"/>
      <c r="L40" s="33">
        <f t="shared" si="23"/>
        <v>0</v>
      </c>
      <c r="M40" s="33">
        <f t="shared" si="24"/>
        <v>0</v>
      </c>
      <c r="N40" s="100">
        <f t="shared" si="25"/>
        <v>0</v>
      </c>
      <c r="O40" s="99">
        <f t="shared" si="26"/>
        <v>0</v>
      </c>
      <c r="P40" s="33">
        <f t="shared" si="27"/>
        <v>0</v>
      </c>
      <c r="Q40" s="56"/>
      <c r="R40" s="56"/>
      <c r="S40" s="56"/>
      <c r="T40" s="56"/>
      <c r="U40" s="56"/>
      <c r="V40" s="56"/>
      <c r="W40" s="56"/>
      <c r="X40" s="33">
        <f t="shared" si="28"/>
        <v>0</v>
      </c>
      <c r="Y40" s="33">
        <f t="shared" si="29"/>
        <v>0</v>
      </c>
      <c r="Z40" s="100">
        <f t="shared" si="30"/>
        <v>0</v>
      </c>
      <c r="AA40" s="99">
        <f t="shared" si="31"/>
        <v>0</v>
      </c>
      <c r="AB40" s="33">
        <f t="shared" si="32"/>
        <v>0</v>
      </c>
      <c r="AC40" s="56"/>
      <c r="AD40" s="56"/>
      <c r="AE40" s="56"/>
      <c r="AF40" s="56"/>
      <c r="AG40" s="56"/>
      <c r="AH40" s="56"/>
      <c r="AI40" s="56"/>
      <c r="AJ40" s="33">
        <f t="shared" si="33"/>
        <v>0</v>
      </c>
      <c r="AK40" s="33">
        <f t="shared" si="34"/>
        <v>0</v>
      </c>
      <c r="AL40" s="100">
        <f t="shared" si="35"/>
        <v>0</v>
      </c>
      <c r="AM40" s="99">
        <f t="shared" si="36"/>
        <v>0</v>
      </c>
      <c r="AN40" s="33">
        <f t="shared" si="37"/>
        <v>0</v>
      </c>
      <c r="AO40" s="56"/>
      <c r="AP40" s="56"/>
      <c r="AQ40" s="56"/>
      <c r="AR40" s="56"/>
      <c r="AS40" s="56"/>
      <c r="AT40" s="56"/>
      <c r="AU40" s="56"/>
      <c r="AV40" s="33">
        <f t="shared" si="38"/>
        <v>0</v>
      </c>
      <c r="AW40" s="33">
        <f t="shared" si="39"/>
        <v>0</v>
      </c>
      <c r="AX40" s="100">
        <f t="shared" si="40"/>
        <v>0</v>
      </c>
      <c r="AY40" s="99">
        <f t="shared" si="41"/>
        <v>0</v>
      </c>
      <c r="AZ40" s="33">
        <f t="shared" si="42"/>
        <v>0</v>
      </c>
      <c r="BA40" s="56"/>
      <c r="BB40" s="56"/>
      <c r="BC40" s="56"/>
      <c r="BD40" s="56"/>
      <c r="BE40" s="56"/>
      <c r="BF40" s="56"/>
      <c r="BG40" s="56"/>
      <c r="BH40" s="33">
        <f t="shared" si="43"/>
        <v>0</v>
      </c>
      <c r="BI40" s="33">
        <f t="shared" si="44"/>
        <v>0</v>
      </c>
      <c r="BJ40" s="100">
        <f t="shared" si="45"/>
        <v>0</v>
      </c>
      <c r="BK40" s="99">
        <f t="shared" si="46"/>
        <v>0</v>
      </c>
      <c r="BL40" s="33">
        <f t="shared" si="47"/>
        <v>0</v>
      </c>
      <c r="BM40" s="39"/>
      <c r="BN40" s="39"/>
      <c r="BO40" s="39"/>
      <c r="BP40" s="39"/>
      <c r="BQ40" s="39"/>
      <c r="BR40" s="39"/>
      <c r="BS40" s="39"/>
      <c r="BT40" s="33">
        <f t="shared" si="48"/>
        <v>0</v>
      </c>
      <c r="BU40" s="33">
        <f t="shared" si="49"/>
        <v>0</v>
      </c>
      <c r="BV40" s="100">
        <f t="shared" si="50"/>
        <v>0</v>
      </c>
      <c r="BW40" s="99">
        <f t="shared" si="51"/>
        <v>0</v>
      </c>
      <c r="BX40" s="33">
        <f t="shared" si="52"/>
        <v>0</v>
      </c>
      <c r="BY40" s="98">
        <f t="shared" si="53"/>
        <v>0</v>
      </c>
      <c r="BZ40" s="36">
        <f t="shared" si="54"/>
        <v>0</v>
      </c>
      <c r="CA40" s="37">
        <f t="shared" si="55"/>
        <v>0</v>
      </c>
      <c r="CB40" s="38">
        <f t="shared" si="56"/>
        <v>0</v>
      </c>
      <c r="CC40" s="10">
        <f t="shared" si="61"/>
        <v>0</v>
      </c>
      <c r="CD40" s="11">
        <f t="shared" si="62"/>
        <v>0</v>
      </c>
    </row>
    <row r="41" spans="1:82" ht="16.5" customHeight="1">
      <c r="A41" s="57" t="s">
        <v>63</v>
      </c>
      <c r="B41" s="57"/>
      <c r="C41" s="55"/>
      <c r="D41" s="96">
        <f>IF(C41="",0,VLOOKUP(C41,Conf!A:D,4,FALSE))</f>
        <v>0</v>
      </c>
      <c r="E41" s="56"/>
      <c r="F41" s="56"/>
      <c r="G41" s="56"/>
      <c r="H41" s="56"/>
      <c r="I41" s="56"/>
      <c r="J41" s="56"/>
      <c r="K41" s="56"/>
      <c r="L41" s="33">
        <f t="shared" si="23"/>
        <v>0</v>
      </c>
      <c r="M41" s="33">
        <f t="shared" si="24"/>
        <v>0</v>
      </c>
      <c r="N41" s="100">
        <f t="shared" si="25"/>
        <v>0</v>
      </c>
      <c r="O41" s="99">
        <f t="shared" si="26"/>
        <v>0</v>
      </c>
      <c r="P41" s="33">
        <f t="shared" si="27"/>
        <v>0</v>
      </c>
      <c r="Q41" s="56"/>
      <c r="R41" s="56"/>
      <c r="S41" s="56"/>
      <c r="T41" s="56"/>
      <c r="U41" s="56"/>
      <c r="V41" s="56"/>
      <c r="W41" s="56"/>
      <c r="X41" s="33">
        <f t="shared" si="28"/>
        <v>0</v>
      </c>
      <c r="Y41" s="33">
        <f t="shared" si="29"/>
        <v>0</v>
      </c>
      <c r="Z41" s="100">
        <f t="shared" si="30"/>
        <v>0</v>
      </c>
      <c r="AA41" s="99">
        <f t="shared" si="31"/>
        <v>0</v>
      </c>
      <c r="AB41" s="33">
        <f t="shared" si="32"/>
        <v>0</v>
      </c>
      <c r="AC41" s="56"/>
      <c r="AD41" s="56"/>
      <c r="AE41" s="56"/>
      <c r="AF41" s="56"/>
      <c r="AG41" s="56"/>
      <c r="AH41" s="56"/>
      <c r="AI41" s="56"/>
      <c r="AJ41" s="33">
        <f t="shared" si="33"/>
        <v>0</v>
      </c>
      <c r="AK41" s="33">
        <f t="shared" si="34"/>
        <v>0</v>
      </c>
      <c r="AL41" s="100">
        <f t="shared" si="35"/>
        <v>0</v>
      </c>
      <c r="AM41" s="99">
        <f t="shared" si="36"/>
        <v>0</v>
      </c>
      <c r="AN41" s="33">
        <f t="shared" si="37"/>
        <v>0</v>
      </c>
      <c r="AO41" s="56"/>
      <c r="AP41" s="56"/>
      <c r="AQ41" s="56"/>
      <c r="AR41" s="56"/>
      <c r="AS41" s="56"/>
      <c r="AT41" s="56"/>
      <c r="AU41" s="56"/>
      <c r="AV41" s="33">
        <f t="shared" si="38"/>
        <v>0</v>
      </c>
      <c r="AW41" s="33">
        <f t="shared" si="39"/>
        <v>0</v>
      </c>
      <c r="AX41" s="100">
        <f t="shared" si="40"/>
        <v>0</v>
      </c>
      <c r="AY41" s="99">
        <f t="shared" si="41"/>
        <v>0</v>
      </c>
      <c r="AZ41" s="33">
        <f t="shared" si="42"/>
        <v>0</v>
      </c>
      <c r="BA41" s="56"/>
      <c r="BB41" s="56"/>
      <c r="BC41" s="56"/>
      <c r="BD41" s="56"/>
      <c r="BE41" s="56"/>
      <c r="BF41" s="56"/>
      <c r="BG41" s="56"/>
      <c r="BH41" s="33">
        <f t="shared" si="43"/>
        <v>0</v>
      </c>
      <c r="BI41" s="33">
        <f t="shared" si="44"/>
        <v>0</v>
      </c>
      <c r="BJ41" s="100">
        <f t="shared" si="45"/>
        <v>0</v>
      </c>
      <c r="BK41" s="99">
        <f t="shared" si="46"/>
        <v>0</v>
      </c>
      <c r="BL41" s="33">
        <f t="shared" si="47"/>
        <v>0</v>
      </c>
      <c r="BM41" s="39"/>
      <c r="BN41" s="39"/>
      <c r="BO41" s="39"/>
      <c r="BP41" s="39"/>
      <c r="BQ41" s="39"/>
      <c r="BR41" s="39"/>
      <c r="BS41" s="39"/>
      <c r="BT41" s="33">
        <f t="shared" si="48"/>
        <v>0</v>
      </c>
      <c r="BU41" s="33">
        <f t="shared" si="49"/>
        <v>0</v>
      </c>
      <c r="BV41" s="100">
        <f t="shared" si="50"/>
        <v>0</v>
      </c>
      <c r="BW41" s="99">
        <f t="shared" si="51"/>
        <v>0</v>
      </c>
      <c r="BX41" s="33">
        <f t="shared" si="52"/>
        <v>0</v>
      </c>
      <c r="BY41" s="98">
        <f t="shared" si="53"/>
        <v>0</v>
      </c>
      <c r="BZ41" s="36">
        <f t="shared" si="54"/>
        <v>0</v>
      </c>
      <c r="CA41" s="37">
        <f t="shared" si="55"/>
        <v>0</v>
      </c>
      <c r="CB41" s="38">
        <f t="shared" si="56"/>
        <v>0</v>
      </c>
      <c r="CC41" s="10">
        <f t="shared" si="61"/>
        <v>0</v>
      </c>
      <c r="CD41" s="11">
        <f t="shared" si="62"/>
        <v>0</v>
      </c>
    </row>
    <row r="42" spans="1:82" ht="16.5" customHeight="1">
      <c r="A42" s="57" t="s">
        <v>67</v>
      </c>
      <c r="B42" s="57"/>
      <c r="C42" s="55"/>
      <c r="D42" s="96">
        <f>IF(C42="",0,VLOOKUP(C42,Conf!A:D,4,FALSE))</f>
        <v>0</v>
      </c>
      <c r="E42" s="56"/>
      <c r="F42" s="56"/>
      <c r="G42" s="56"/>
      <c r="H42" s="56"/>
      <c r="I42" s="56"/>
      <c r="J42" s="56"/>
      <c r="K42" s="56"/>
      <c r="L42" s="33">
        <f t="shared" si="23"/>
        <v>0</v>
      </c>
      <c r="M42" s="33">
        <f t="shared" si="24"/>
        <v>0</v>
      </c>
      <c r="N42" s="100">
        <f t="shared" si="25"/>
        <v>0</v>
      </c>
      <c r="O42" s="99">
        <f t="shared" si="26"/>
        <v>0</v>
      </c>
      <c r="P42" s="33">
        <f t="shared" si="27"/>
        <v>0</v>
      </c>
      <c r="Q42" s="56"/>
      <c r="R42" s="56"/>
      <c r="S42" s="56"/>
      <c r="T42" s="56"/>
      <c r="U42" s="56"/>
      <c r="V42" s="56"/>
      <c r="W42" s="56"/>
      <c r="X42" s="33">
        <f t="shared" si="28"/>
        <v>0</v>
      </c>
      <c r="Y42" s="33">
        <f t="shared" si="29"/>
        <v>0</v>
      </c>
      <c r="Z42" s="100">
        <f t="shared" si="30"/>
        <v>0</v>
      </c>
      <c r="AA42" s="99">
        <f t="shared" si="31"/>
        <v>0</v>
      </c>
      <c r="AB42" s="33">
        <f t="shared" si="32"/>
        <v>0</v>
      </c>
      <c r="AC42" s="56"/>
      <c r="AD42" s="56"/>
      <c r="AE42" s="56"/>
      <c r="AF42" s="56"/>
      <c r="AG42" s="56"/>
      <c r="AH42" s="56"/>
      <c r="AI42" s="56"/>
      <c r="AJ42" s="33">
        <f t="shared" si="33"/>
        <v>0</v>
      </c>
      <c r="AK42" s="33">
        <f t="shared" si="34"/>
        <v>0</v>
      </c>
      <c r="AL42" s="100">
        <f t="shared" si="35"/>
        <v>0</v>
      </c>
      <c r="AM42" s="99">
        <f t="shared" si="36"/>
        <v>0</v>
      </c>
      <c r="AN42" s="33">
        <f t="shared" si="37"/>
        <v>0</v>
      </c>
      <c r="AO42" s="56"/>
      <c r="AP42" s="56"/>
      <c r="AQ42" s="56"/>
      <c r="AR42" s="56"/>
      <c r="AS42" s="56"/>
      <c r="AT42" s="56"/>
      <c r="AU42" s="56"/>
      <c r="AV42" s="33">
        <f t="shared" si="38"/>
        <v>0</v>
      </c>
      <c r="AW42" s="33">
        <f t="shared" si="39"/>
        <v>0</v>
      </c>
      <c r="AX42" s="100">
        <f t="shared" si="40"/>
        <v>0</v>
      </c>
      <c r="AY42" s="99">
        <f t="shared" si="41"/>
        <v>0</v>
      </c>
      <c r="AZ42" s="33">
        <f t="shared" si="42"/>
        <v>0</v>
      </c>
      <c r="BA42" s="56"/>
      <c r="BB42" s="56"/>
      <c r="BC42" s="56"/>
      <c r="BD42" s="56"/>
      <c r="BE42" s="56"/>
      <c r="BF42" s="56"/>
      <c r="BG42" s="56"/>
      <c r="BH42" s="33">
        <f t="shared" si="43"/>
        <v>0</v>
      </c>
      <c r="BI42" s="33">
        <f t="shared" si="44"/>
        <v>0</v>
      </c>
      <c r="BJ42" s="100">
        <f t="shared" si="45"/>
        <v>0</v>
      </c>
      <c r="BK42" s="99">
        <f t="shared" si="46"/>
        <v>0</v>
      </c>
      <c r="BL42" s="33">
        <f t="shared" si="47"/>
        <v>0</v>
      </c>
      <c r="BM42" s="39"/>
      <c r="BN42" s="39"/>
      <c r="BO42" s="39"/>
      <c r="BP42" s="39"/>
      <c r="BQ42" s="39"/>
      <c r="BR42" s="39"/>
      <c r="BS42" s="39"/>
      <c r="BT42" s="33">
        <f t="shared" si="48"/>
        <v>0</v>
      </c>
      <c r="BU42" s="33">
        <f t="shared" si="49"/>
        <v>0</v>
      </c>
      <c r="BV42" s="100">
        <f t="shared" si="50"/>
        <v>0</v>
      </c>
      <c r="BW42" s="99">
        <f t="shared" si="51"/>
        <v>0</v>
      </c>
      <c r="BX42" s="33">
        <f t="shared" si="52"/>
        <v>0</v>
      </c>
      <c r="BY42" s="98">
        <f t="shared" si="53"/>
        <v>0</v>
      </c>
      <c r="BZ42" s="36">
        <f t="shared" si="54"/>
        <v>0</v>
      </c>
      <c r="CA42" s="37">
        <f t="shared" si="55"/>
        <v>0</v>
      </c>
      <c r="CB42" s="38">
        <f t="shared" si="56"/>
        <v>0</v>
      </c>
      <c r="CC42" s="10">
        <f t="shared" si="61"/>
        <v>0</v>
      </c>
      <c r="CD42" s="11">
        <f t="shared" si="62"/>
        <v>0</v>
      </c>
    </row>
    <row r="43" spans="1:82" ht="16.5" customHeight="1">
      <c r="A43" s="57" t="s">
        <v>75</v>
      </c>
      <c r="B43" s="57"/>
      <c r="C43" s="55"/>
      <c r="D43" s="96">
        <f>IF(C43="",0,VLOOKUP(C43,Conf!A:D,4,FALSE))</f>
        <v>0</v>
      </c>
      <c r="E43" s="56"/>
      <c r="F43" s="56"/>
      <c r="G43" s="56"/>
      <c r="H43" s="56"/>
      <c r="I43" s="56"/>
      <c r="J43" s="56"/>
      <c r="K43" s="56"/>
      <c r="L43" s="33">
        <f t="shared" si="23"/>
        <v>0</v>
      </c>
      <c r="M43" s="33">
        <f t="shared" si="24"/>
        <v>0</v>
      </c>
      <c r="N43" s="100">
        <f t="shared" si="25"/>
        <v>0</v>
      </c>
      <c r="O43" s="99">
        <f t="shared" si="26"/>
        <v>0</v>
      </c>
      <c r="P43" s="33">
        <f t="shared" si="27"/>
        <v>0</v>
      </c>
      <c r="Q43" s="56"/>
      <c r="R43" s="56"/>
      <c r="S43" s="56"/>
      <c r="T43" s="56"/>
      <c r="U43" s="56"/>
      <c r="V43" s="56"/>
      <c r="W43" s="56"/>
      <c r="X43" s="33">
        <f t="shared" si="28"/>
        <v>0</v>
      </c>
      <c r="Y43" s="33">
        <f t="shared" si="29"/>
        <v>0</v>
      </c>
      <c r="Z43" s="100">
        <f t="shared" si="30"/>
        <v>0</v>
      </c>
      <c r="AA43" s="99">
        <f t="shared" si="31"/>
        <v>0</v>
      </c>
      <c r="AB43" s="33">
        <f t="shared" si="32"/>
        <v>0</v>
      </c>
      <c r="AC43" s="56"/>
      <c r="AD43" s="56"/>
      <c r="AE43" s="56"/>
      <c r="AF43" s="56"/>
      <c r="AG43" s="56"/>
      <c r="AH43" s="56"/>
      <c r="AI43" s="56"/>
      <c r="AJ43" s="33">
        <f t="shared" si="33"/>
        <v>0</v>
      </c>
      <c r="AK43" s="33">
        <f t="shared" si="34"/>
        <v>0</v>
      </c>
      <c r="AL43" s="100">
        <f t="shared" si="35"/>
        <v>0</v>
      </c>
      <c r="AM43" s="99">
        <f t="shared" si="36"/>
        <v>0</v>
      </c>
      <c r="AN43" s="33">
        <f t="shared" si="37"/>
        <v>0</v>
      </c>
      <c r="AO43" s="56"/>
      <c r="AP43" s="56"/>
      <c r="AQ43" s="56"/>
      <c r="AR43" s="56"/>
      <c r="AS43" s="56"/>
      <c r="AT43" s="56"/>
      <c r="AU43" s="56"/>
      <c r="AV43" s="33">
        <f t="shared" si="38"/>
        <v>0</v>
      </c>
      <c r="AW43" s="33">
        <f t="shared" si="39"/>
        <v>0</v>
      </c>
      <c r="AX43" s="100">
        <f t="shared" si="40"/>
        <v>0</v>
      </c>
      <c r="AY43" s="99">
        <f t="shared" si="41"/>
        <v>0</v>
      </c>
      <c r="AZ43" s="33">
        <f t="shared" si="42"/>
        <v>0</v>
      </c>
      <c r="BA43" s="56"/>
      <c r="BB43" s="56"/>
      <c r="BC43" s="56"/>
      <c r="BD43" s="56"/>
      <c r="BE43" s="56"/>
      <c r="BF43" s="56"/>
      <c r="BG43" s="56"/>
      <c r="BH43" s="33">
        <f t="shared" si="43"/>
        <v>0</v>
      </c>
      <c r="BI43" s="33">
        <f t="shared" si="44"/>
        <v>0</v>
      </c>
      <c r="BJ43" s="100">
        <f t="shared" si="45"/>
        <v>0</v>
      </c>
      <c r="BK43" s="99">
        <f t="shared" si="46"/>
        <v>0</v>
      </c>
      <c r="BL43" s="33">
        <f t="shared" si="47"/>
        <v>0</v>
      </c>
      <c r="BM43" s="39"/>
      <c r="BN43" s="39"/>
      <c r="BO43" s="39"/>
      <c r="BP43" s="39"/>
      <c r="BQ43" s="39"/>
      <c r="BR43" s="39"/>
      <c r="BS43" s="39"/>
      <c r="BT43" s="33">
        <f t="shared" si="48"/>
        <v>0</v>
      </c>
      <c r="BU43" s="33">
        <f t="shared" si="49"/>
        <v>0</v>
      </c>
      <c r="BV43" s="100">
        <f t="shared" si="50"/>
        <v>0</v>
      </c>
      <c r="BW43" s="99">
        <f t="shared" si="51"/>
        <v>0</v>
      </c>
      <c r="BX43" s="33">
        <f t="shared" si="52"/>
        <v>0</v>
      </c>
      <c r="BY43" s="98">
        <f t="shared" si="53"/>
        <v>0</v>
      </c>
      <c r="BZ43" s="36">
        <f t="shared" si="54"/>
        <v>0</v>
      </c>
      <c r="CA43" s="37">
        <f t="shared" si="55"/>
        <v>0</v>
      </c>
      <c r="CB43" s="38">
        <f t="shared" si="56"/>
        <v>0</v>
      </c>
      <c r="CC43" s="10">
        <f t="shared" si="61"/>
        <v>0</v>
      </c>
      <c r="CD43" s="11">
        <f t="shared" si="62"/>
        <v>0</v>
      </c>
    </row>
    <row r="44" spans="1:82" ht="16.5" customHeight="1">
      <c r="A44" s="57" t="s">
        <v>87</v>
      </c>
      <c r="B44" s="57"/>
      <c r="C44" s="55"/>
      <c r="D44" s="97"/>
      <c r="E44" s="56"/>
      <c r="F44" s="56"/>
      <c r="G44" s="56"/>
      <c r="H44" s="56"/>
      <c r="I44" s="56"/>
      <c r="J44" s="56"/>
      <c r="K44" s="56"/>
      <c r="L44" s="33">
        <f t="shared" si="23"/>
        <v>0</v>
      </c>
      <c r="M44" s="33">
        <f t="shared" si="24"/>
        <v>0</v>
      </c>
      <c r="N44" s="100">
        <f t="shared" si="25"/>
        <v>0</v>
      </c>
      <c r="O44" s="99">
        <f t="shared" si="26"/>
        <v>0</v>
      </c>
      <c r="P44" s="33">
        <f t="shared" si="27"/>
        <v>0</v>
      </c>
      <c r="Q44" s="56"/>
      <c r="R44" s="56"/>
      <c r="S44" s="56"/>
      <c r="T44" s="56"/>
      <c r="U44" s="56"/>
      <c r="V44" s="56"/>
      <c r="W44" s="56"/>
      <c r="X44" s="33">
        <f t="shared" si="28"/>
        <v>0</v>
      </c>
      <c r="Y44" s="33">
        <f t="shared" si="29"/>
        <v>0</v>
      </c>
      <c r="Z44" s="100">
        <f t="shared" si="30"/>
        <v>0</v>
      </c>
      <c r="AA44" s="99">
        <f t="shared" si="31"/>
        <v>0</v>
      </c>
      <c r="AB44" s="33">
        <f t="shared" si="32"/>
        <v>0</v>
      </c>
      <c r="AC44" s="56"/>
      <c r="AD44" s="56"/>
      <c r="AE44" s="56"/>
      <c r="AF44" s="56"/>
      <c r="AG44" s="56"/>
      <c r="AH44" s="56"/>
      <c r="AI44" s="56"/>
      <c r="AJ44" s="33">
        <f t="shared" si="33"/>
        <v>0</v>
      </c>
      <c r="AK44" s="33">
        <f t="shared" si="34"/>
        <v>0</v>
      </c>
      <c r="AL44" s="100">
        <f t="shared" si="35"/>
        <v>0</v>
      </c>
      <c r="AM44" s="99">
        <f t="shared" si="36"/>
        <v>0</v>
      </c>
      <c r="AN44" s="33">
        <f t="shared" si="37"/>
        <v>0</v>
      </c>
      <c r="AO44" s="56"/>
      <c r="AP44" s="56"/>
      <c r="AQ44" s="56"/>
      <c r="AR44" s="56"/>
      <c r="AS44" s="56"/>
      <c r="AT44" s="56"/>
      <c r="AU44" s="56"/>
      <c r="AV44" s="33">
        <f t="shared" si="38"/>
        <v>0</v>
      </c>
      <c r="AW44" s="33">
        <f t="shared" si="39"/>
        <v>0</v>
      </c>
      <c r="AX44" s="100">
        <f t="shared" si="40"/>
        <v>0</v>
      </c>
      <c r="AY44" s="99">
        <f t="shared" si="41"/>
        <v>0</v>
      </c>
      <c r="AZ44" s="33">
        <f t="shared" si="42"/>
        <v>0</v>
      </c>
      <c r="BA44" s="56"/>
      <c r="BB44" s="56"/>
      <c r="BC44" s="56"/>
      <c r="BD44" s="56"/>
      <c r="BE44" s="56"/>
      <c r="BF44" s="56"/>
      <c r="BG44" s="56"/>
      <c r="BH44" s="33">
        <f t="shared" si="43"/>
        <v>0</v>
      </c>
      <c r="BI44" s="33">
        <f t="shared" si="44"/>
        <v>0</v>
      </c>
      <c r="BJ44" s="100">
        <f t="shared" si="45"/>
        <v>0</v>
      </c>
      <c r="BK44" s="99">
        <f t="shared" si="46"/>
        <v>0</v>
      </c>
      <c r="BL44" s="33">
        <f t="shared" si="47"/>
        <v>0</v>
      </c>
      <c r="BM44" s="39"/>
      <c r="BN44" s="39"/>
      <c r="BO44" s="39"/>
      <c r="BP44" s="39"/>
      <c r="BQ44" s="39"/>
      <c r="BR44" s="39"/>
      <c r="BS44" s="39"/>
      <c r="BT44" s="33">
        <f t="shared" si="48"/>
        <v>0</v>
      </c>
      <c r="BU44" s="33">
        <f t="shared" si="49"/>
        <v>0</v>
      </c>
      <c r="BV44" s="100">
        <f t="shared" si="50"/>
        <v>0</v>
      </c>
      <c r="BW44" s="99">
        <f t="shared" si="51"/>
        <v>0</v>
      </c>
      <c r="BX44" s="33">
        <f t="shared" si="52"/>
        <v>0</v>
      </c>
      <c r="BY44" s="98">
        <f t="shared" si="53"/>
        <v>0</v>
      </c>
      <c r="BZ44" s="36">
        <f t="shared" si="54"/>
        <v>0</v>
      </c>
      <c r="CA44" s="37">
        <f t="shared" si="55"/>
        <v>0</v>
      </c>
      <c r="CB44" s="38">
        <f t="shared" si="56"/>
        <v>0</v>
      </c>
      <c r="CC44" s="10">
        <f t="shared" si="61"/>
        <v>0</v>
      </c>
      <c r="CD44" s="11">
        <f t="shared" si="62"/>
        <v>0</v>
      </c>
    </row>
    <row r="45" spans="1:82" ht="24" customHeight="1">
      <c r="A45" s="136" t="s">
        <v>93</v>
      </c>
      <c r="B45" s="136"/>
      <c r="C45" s="136"/>
      <c r="D45" s="58"/>
      <c r="E45" s="59">
        <f t="shared" ref="E45:BI45" si="63">SUM(E13:E44)</f>
        <v>124</v>
      </c>
      <c r="F45" s="59">
        <f t="shared" si="63"/>
        <v>97</v>
      </c>
      <c r="G45" s="59">
        <f t="shared" si="63"/>
        <v>154</v>
      </c>
      <c r="H45" s="59">
        <f t="shared" si="63"/>
        <v>154</v>
      </c>
      <c r="I45" s="59">
        <f t="shared" si="63"/>
        <v>147</v>
      </c>
      <c r="J45" s="59">
        <f t="shared" si="63"/>
        <v>147</v>
      </c>
      <c r="K45" s="59">
        <f t="shared" si="63"/>
        <v>147</v>
      </c>
      <c r="L45" s="34">
        <f t="shared" si="63"/>
        <v>332</v>
      </c>
      <c r="M45" s="34">
        <f t="shared" si="63"/>
        <v>0</v>
      </c>
      <c r="N45" s="34"/>
      <c r="O45" s="34"/>
      <c r="P45" s="34"/>
      <c r="Q45" s="59">
        <f t="shared" si="63"/>
        <v>147</v>
      </c>
      <c r="R45" s="59">
        <f t="shared" si="63"/>
        <v>49</v>
      </c>
      <c r="S45" s="59">
        <f t="shared" si="63"/>
        <v>113</v>
      </c>
      <c r="T45" s="59">
        <f t="shared" si="63"/>
        <v>113</v>
      </c>
      <c r="U45" s="59">
        <f t="shared" si="63"/>
        <v>113</v>
      </c>
      <c r="V45" s="59">
        <f t="shared" si="63"/>
        <v>92</v>
      </c>
      <c r="W45" s="59">
        <f t="shared" si="63"/>
        <v>96</v>
      </c>
      <c r="X45" s="34">
        <f t="shared" si="63"/>
        <v>98</v>
      </c>
      <c r="Y45" s="34">
        <f t="shared" si="63"/>
        <v>0</v>
      </c>
      <c r="Z45" s="34"/>
      <c r="AA45" s="34"/>
      <c r="AB45" s="34"/>
      <c r="AC45" s="59">
        <f t="shared" si="63"/>
        <v>103</v>
      </c>
      <c r="AD45" s="59">
        <f t="shared" si="63"/>
        <v>96</v>
      </c>
      <c r="AE45" s="59">
        <f t="shared" si="63"/>
        <v>110</v>
      </c>
      <c r="AF45" s="59">
        <f t="shared" si="63"/>
        <v>110</v>
      </c>
      <c r="AG45" s="59">
        <f t="shared" si="63"/>
        <v>113</v>
      </c>
      <c r="AH45" s="59">
        <f t="shared" si="63"/>
        <v>113</v>
      </c>
      <c r="AI45" s="59">
        <f t="shared" si="63"/>
        <v>113</v>
      </c>
      <c r="AJ45" s="34">
        <f t="shared" si="63"/>
        <v>93</v>
      </c>
      <c r="AK45" s="34">
        <f t="shared" si="63"/>
        <v>0</v>
      </c>
      <c r="AL45" s="34"/>
      <c r="AM45" s="34"/>
      <c r="AN45" s="34"/>
      <c r="AO45" s="59">
        <f t="shared" si="63"/>
        <v>106</v>
      </c>
      <c r="AP45" s="59">
        <f t="shared" si="63"/>
        <v>103</v>
      </c>
      <c r="AQ45" s="59">
        <f t="shared" si="63"/>
        <v>103</v>
      </c>
      <c r="AR45" s="59">
        <f t="shared" si="63"/>
        <v>110</v>
      </c>
      <c r="AS45" s="59">
        <f t="shared" si="63"/>
        <v>110</v>
      </c>
      <c r="AT45" s="59">
        <f t="shared" si="63"/>
        <v>113</v>
      </c>
      <c r="AU45" s="59">
        <f t="shared" si="63"/>
        <v>113</v>
      </c>
      <c r="AV45" s="34">
        <f t="shared" si="63"/>
        <v>118</v>
      </c>
      <c r="AW45" s="34">
        <f t="shared" si="63"/>
        <v>0</v>
      </c>
      <c r="AX45" s="34"/>
      <c r="AY45" s="34"/>
      <c r="AZ45" s="34"/>
      <c r="BA45" s="34">
        <f t="shared" si="63"/>
        <v>0</v>
      </c>
      <c r="BB45" s="34">
        <f t="shared" si="63"/>
        <v>0</v>
      </c>
      <c r="BC45" s="34">
        <f t="shared" si="63"/>
        <v>0</v>
      </c>
      <c r="BD45" s="34">
        <f t="shared" si="63"/>
        <v>0</v>
      </c>
      <c r="BE45" s="34">
        <f t="shared" si="63"/>
        <v>0</v>
      </c>
      <c r="BF45" s="34">
        <f t="shared" si="63"/>
        <v>0</v>
      </c>
      <c r="BG45" s="34">
        <f t="shared" si="63"/>
        <v>0</v>
      </c>
      <c r="BH45" s="34">
        <f t="shared" si="63"/>
        <v>0</v>
      </c>
      <c r="BI45" s="34">
        <f t="shared" si="63"/>
        <v>0</v>
      </c>
      <c r="BJ45" s="34"/>
      <c r="BK45" s="34"/>
      <c r="BL45" s="34"/>
      <c r="BM45" s="34">
        <f t="shared" ref="BM45:BZ45" si="64">SUM(BM13:BM44)</f>
        <v>0</v>
      </c>
      <c r="BN45" s="34">
        <f t="shared" si="64"/>
        <v>0</v>
      </c>
      <c r="BO45" s="34">
        <f t="shared" si="64"/>
        <v>0</v>
      </c>
      <c r="BP45" s="34">
        <f t="shared" si="64"/>
        <v>0</v>
      </c>
      <c r="BQ45" s="34">
        <f t="shared" si="64"/>
        <v>0</v>
      </c>
      <c r="BR45" s="34">
        <f t="shared" si="64"/>
        <v>0</v>
      </c>
      <c r="BS45" s="34">
        <f t="shared" si="64"/>
        <v>0</v>
      </c>
      <c r="BT45" s="34">
        <f t="shared" si="64"/>
        <v>0</v>
      </c>
      <c r="BU45" s="34">
        <f t="shared" si="64"/>
        <v>0</v>
      </c>
      <c r="BV45" s="34"/>
      <c r="BW45" s="34"/>
      <c r="BX45" s="34"/>
      <c r="BY45" s="34"/>
      <c r="BZ45" s="34">
        <f t="shared" si="64"/>
        <v>657</v>
      </c>
      <c r="CA45" s="34">
        <f>SUM(CA13:CA44)</f>
        <v>0</v>
      </c>
      <c r="CB45" s="40">
        <f>SUM(CB13:CB44)</f>
        <v>905353.4232908655</v>
      </c>
      <c r="CC45" s="12"/>
      <c r="CD45" s="13"/>
    </row>
    <row r="46" spans="1:82" s="14" customFormat="1">
      <c r="A46" s="60"/>
      <c r="B46" s="60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2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2"/>
      <c r="BI46" s="42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2"/>
      <c r="BU46" s="42"/>
      <c r="BV46" s="42"/>
      <c r="BW46" s="42"/>
      <c r="BX46" s="42"/>
      <c r="BY46" s="42"/>
      <c r="BZ46" s="43"/>
      <c r="CA46" s="44"/>
      <c r="CB46" s="45"/>
    </row>
    <row r="47" spans="1:82" s="14" customFormat="1" ht="15" customHeight="1">
      <c r="A47" s="63"/>
      <c r="B47" s="63"/>
      <c r="C47" s="63"/>
      <c r="D47" s="64"/>
      <c r="E47" s="137"/>
      <c r="F47" s="137"/>
      <c r="G47" s="137"/>
      <c r="H47" s="137"/>
      <c r="I47" s="62"/>
      <c r="J47" s="62"/>
      <c r="K47" s="62"/>
      <c r="L47" s="62"/>
      <c r="M47" s="62"/>
      <c r="N47" s="62"/>
      <c r="O47" s="62"/>
      <c r="P47" s="62"/>
      <c r="Q47" s="65"/>
      <c r="R47" s="65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5"/>
      <c r="AD47" s="65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5"/>
      <c r="AP47" s="65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5"/>
      <c r="BB47" s="65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5"/>
      <c r="BN47" s="65"/>
      <c r="BO47" s="62"/>
      <c r="BP47" s="62"/>
      <c r="BQ47" s="62"/>
      <c r="BR47" s="62"/>
      <c r="BS47" s="62"/>
      <c r="BT47" s="62"/>
      <c r="BU47" s="62"/>
      <c r="BV47" s="62"/>
      <c r="BW47" s="62"/>
      <c r="BX47" s="62"/>
      <c r="BY47" s="62"/>
      <c r="BZ47" s="62"/>
      <c r="CA47" s="66"/>
      <c r="CB47" s="67"/>
    </row>
    <row r="48" spans="1:82">
      <c r="A48" s="138" t="s">
        <v>94</v>
      </c>
      <c r="B48" s="138"/>
      <c r="C48" s="138"/>
      <c r="D48" s="68"/>
      <c r="E48" s="138" t="s">
        <v>95</v>
      </c>
      <c r="F48" s="138"/>
      <c r="G48" s="138"/>
      <c r="H48" s="138"/>
      <c r="I48" s="52"/>
      <c r="J48" s="52"/>
      <c r="K48" s="52"/>
      <c r="L48" s="52"/>
      <c r="M48" s="52"/>
      <c r="N48" s="52"/>
      <c r="O48" s="52"/>
      <c r="P48" s="52"/>
      <c r="Q48" s="68"/>
      <c r="R48" s="68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68"/>
      <c r="AD48" s="68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68"/>
      <c r="AP48" s="68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68"/>
      <c r="BB48" s="68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68"/>
      <c r="BN48" s="68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69">
        <f>0.7*CB46</f>
        <v>0</v>
      </c>
    </row>
    <row r="49" spans="1:80" ht="26.25" customHeight="1">
      <c r="A49" s="70"/>
      <c r="B49" s="70"/>
      <c r="C49" s="70"/>
      <c r="D49" s="71"/>
      <c r="E49" s="139"/>
      <c r="F49" s="139"/>
      <c r="G49" s="139"/>
      <c r="H49" s="139"/>
      <c r="I49" s="52"/>
      <c r="J49" s="52"/>
      <c r="K49" s="52"/>
      <c r="L49" s="52"/>
      <c r="M49" s="52"/>
      <c r="N49" s="52"/>
      <c r="O49" s="52"/>
      <c r="P49" s="52"/>
      <c r="Q49" s="72"/>
      <c r="R49" s="7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72"/>
      <c r="AD49" s="7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72"/>
      <c r="AP49" s="7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72"/>
      <c r="BB49" s="7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72"/>
      <c r="BN49" s="7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73"/>
    </row>
    <row r="50" spans="1:80">
      <c r="A50" s="140" t="s">
        <v>96</v>
      </c>
      <c r="B50" s="140"/>
      <c r="C50" s="140"/>
      <c r="D50" s="46"/>
      <c r="E50" s="140" t="s">
        <v>95</v>
      </c>
      <c r="F50" s="140"/>
      <c r="G50" s="140"/>
      <c r="H50" s="140"/>
      <c r="I50" s="35"/>
      <c r="J50" s="35"/>
      <c r="K50" s="35"/>
      <c r="L50" s="35"/>
      <c r="M50" s="35"/>
      <c r="N50" s="35"/>
      <c r="O50" s="35"/>
      <c r="P50" s="35"/>
      <c r="Q50" s="46"/>
      <c r="R50" s="46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46"/>
      <c r="AD50" s="46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46"/>
      <c r="AP50" s="46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46"/>
      <c r="BB50" s="46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46"/>
      <c r="BN50" s="46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47"/>
    </row>
    <row r="51" spans="1:80">
      <c r="A51" s="135" t="s">
        <v>97</v>
      </c>
      <c r="B51" s="135"/>
      <c r="C51" s="135"/>
      <c r="D51" s="135"/>
      <c r="E51" s="135"/>
      <c r="F51" s="135"/>
      <c r="G51" s="6"/>
      <c r="H51" s="6"/>
      <c r="I51" s="6"/>
      <c r="J51" s="6"/>
      <c r="K51" s="6"/>
      <c r="L51" s="6"/>
      <c r="M51" s="6"/>
      <c r="N51" s="6"/>
      <c r="O51" s="6"/>
      <c r="P51" s="6"/>
      <c r="Q51" s="15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</row>
    <row r="52" spans="1:80">
      <c r="A52" s="1"/>
      <c r="B52" s="1"/>
      <c r="C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S52" s="6"/>
      <c r="T52" s="1"/>
      <c r="U52" s="1"/>
      <c r="V52" s="1"/>
      <c r="W52" s="1"/>
      <c r="X52" s="1"/>
      <c r="Y52" s="1"/>
      <c r="Z52" s="1"/>
      <c r="AA52" s="1"/>
      <c r="AB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Z52" s="1"/>
      <c r="CA52" s="1"/>
    </row>
    <row r="53" spans="1:80">
      <c r="A53" s="1"/>
      <c r="B53" s="1"/>
      <c r="C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S53" s="6"/>
      <c r="T53" s="1"/>
      <c r="U53" s="1"/>
      <c r="V53" s="1"/>
      <c r="W53" s="1"/>
      <c r="X53" s="1"/>
      <c r="Y53" s="1"/>
      <c r="Z53" s="1"/>
      <c r="AA53" s="1"/>
      <c r="AB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Z53" s="1"/>
      <c r="CA53" s="1"/>
    </row>
    <row r="54" spans="1:80">
      <c r="A54" s="1"/>
      <c r="B54" s="1"/>
      <c r="C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S54" s="6"/>
      <c r="T54" s="1"/>
      <c r="U54" s="1"/>
      <c r="V54" s="1"/>
      <c r="W54" s="1"/>
      <c r="X54" s="1"/>
      <c r="Y54" s="1"/>
      <c r="Z54" s="1"/>
      <c r="AA54" s="1"/>
      <c r="AB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Z54" s="1"/>
      <c r="CA54" s="1"/>
    </row>
    <row r="55" spans="1:80">
      <c r="A55" s="1"/>
      <c r="B55" s="1"/>
      <c r="C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S55" s="1"/>
      <c r="T55" s="1"/>
      <c r="U55" s="1"/>
      <c r="V55" s="1"/>
      <c r="W55" s="1"/>
      <c r="X55" s="1"/>
      <c r="Y55" s="1"/>
      <c r="Z55" s="1"/>
      <c r="AA55" s="1"/>
      <c r="AB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Z55" s="1"/>
      <c r="CA55" s="1"/>
    </row>
    <row r="56" spans="1:80">
      <c r="A56" s="1"/>
      <c r="B56" s="1"/>
      <c r="C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S56" s="1"/>
      <c r="T56" s="1"/>
      <c r="U56" s="1"/>
      <c r="V56" s="1"/>
      <c r="W56" s="1"/>
      <c r="X56" s="1"/>
      <c r="Y56" s="1"/>
      <c r="Z56" s="1"/>
      <c r="AA56" s="1"/>
      <c r="AB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Z56" s="1"/>
      <c r="CA56" s="1"/>
    </row>
  </sheetData>
  <sheetProtection selectLockedCells="1"/>
  <protectedRanges>
    <protectedRange sqref="AI46:BF197 BM46:BR197 E45:CA45" name="Line 3"/>
    <protectedRange sqref="BM13:BS44" name="Range1_1"/>
  </protectedRanges>
  <mergeCells count="15">
    <mergeCell ref="A51:F51"/>
    <mergeCell ref="A45:C45"/>
    <mergeCell ref="E47:H47"/>
    <mergeCell ref="A48:C48"/>
    <mergeCell ref="E48:H48"/>
    <mergeCell ref="E49:H49"/>
    <mergeCell ref="A50:C50"/>
    <mergeCell ref="E50:H50"/>
    <mergeCell ref="AO7:AR7"/>
    <mergeCell ref="AO8:AR8"/>
    <mergeCell ref="AE4:AG4"/>
    <mergeCell ref="AE5:AG5"/>
    <mergeCell ref="AE6:AG6"/>
    <mergeCell ref="AE7:AG7"/>
    <mergeCell ref="AE8:AG8"/>
  </mergeCells>
  <conditionalFormatting sqref="CB45">
    <cfRule type="cellIs" dxfId="14" priority="386" operator="lessThanOrEqual">
      <formula>$CB$46</formula>
    </cfRule>
    <cfRule type="cellIs" dxfId="13" priority="440" operator="greaterThan">
      <formula>$CB$46</formula>
    </cfRule>
  </conditionalFormatting>
  <conditionalFormatting sqref="AO8">
    <cfRule type="cellIs" dxfId="12" priority="367" operator="lessThanOrEqual">
      <formula>$AO$7</formula>
    </cfRule>
    <cfRule type="cellIs" dxfId="11" priority="368" operator="greaterThan">
      <formula>$AO$7</formula>
    </cfRule>
  </conditionalFormatting>
  <conditionalFormatting sqref="CB13:CD44 E32:BY44 L13:P30 X13:AB30 E31:AB31 AJ31:BY31 AJ13:AN30 AV13:BY30">
    <cfRule type="expression" dxfId="10" priority="1306">
      <formula>WEEKDAY(E$11,1)=$E$7</formula>
    </cfRule>
  </conditionalFormatting>
  <conditionalFormatting sqref="E45:CA45">
    <cfRule type="expression" dxfId="9" priority="1329">
      <formula>WEEKDAY(E$11,1)=$C$7</formula>
    </cfRule>
  </conditionalFormatting>
  <conditionalFormatting sqref="AC31:AI31">
    <cfRule type="expression" dxfId="8" priority="10">
      <formula>WEEKDAY(AC$11,1)=$E$7</formula>
    </cfRule>
  </conditionalFormatting>
  <conditionalFormatting sqref="E13:K30">
    <cfRule type="expression" dxfId="7" priority="8">
      <formula>WEEKDAY(E$11,1)=$E$7</formula>
    </cfRule>
  </conditionalFormatting>
  <conditionalFormatting sqref="Q13:W14 Q16:W17 Q19:W30">
    <cfRule type="expression" dxfId="6" priority="7">
      <formula>WEEKDAY(Q$11,1)=$E$7</formula>
    </cfRule>
  </conditionalFormatting>
  <conditionalFormatting sqref="Q15:W15">
    <cfRule type="expression" dxfId="5" priority="6">
      <formula>WEEKDAY(Q$11,1)=$E$7</formula>
    </cfRule>
  </conditionalFormatting>
  <conditionalFormatting sqref="Q18:W18">
    <cfRule type="expression" dxfId="4" priority="5">
      <formula>WEEKDAY(Q$11,1)=$E$7</formula>
    </cfRule>
  </conditionalFormatting>
  <conditionalFormatting sqref="AC13:AI17 AC19:AI30">
    <cfRule type="expression" dxfId="3" priority="4">
      <formula>WEEKDAY(AC$11,1)=$E$7</formula>
    </cfRule>
  </conditionalFormatting>
  <conditionalFormatting sqref="AC18:AI18">
    <cfRule type="expression" dxfId="2" priority="3">
      <formula>WEEKDAY(AC$11,1)=$E$7</formula>
    </cfRule>
  </conditionalFormatting>
  <conditionalFormatting sqref="AO13:AU24 AO26:AU30 AO25:AP25">
    <cfRule type="expression" dxfId="1" priority="2">
      <formula>WEEKDAY(AO$11,1)=$E$7</formula>
    </cfRule>
  </conditionalFormatting>
  <conditionalFormatting sqref="AQ25:AU25">
    <cfRule type="expression" dxfId="0" priority="1">
      <formula>WEEKDAY(AQ$11,1)=$E$7</formula>
    </cfRule>
  </conditionalFormatting>
  <dataValidations count="2">
    <dataValidation type="list" allowBlank="1" showInputMessage="1" showErrorMessage="1" sqref="B7:B8" xr:uid="{00000000-0002-0000-0100-000000000000}">
      <formula1>"Sunday,Monday,Tuesday,Wednesday,Thursday,Friday,Saturday"</formula1>
    </dataValidation>
    <dataValidation type="custom" allowBlank="1" showInputMessage="1" showErrorMessage="1" error="Na Wa Oh!!! _x000a_Na staff number be that wey you type? Na trouble you dey find abi" sqref="C13:C44" xr:uid="{00000000-0002-0000-0100-000001000000}">
      <formula1>AND(EXACT(LEFT(C13,4),"1800"),LEN(C13)=8)</formula1>
    </dataValidation>
  </dataValidations>
  <hyperlinks>
    <hyperlink ref="CB1" r:id="rId1" xr:uid="{00000000-0004-0000-0100-000000000000}"/>
  </hyperlinks>
  <pageMargins left="0.7" right="0.7" top="0.75" bottom="0.75" header="0.3" footer="0.3"/>
  <pageSetup paperSize="9" scale="39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0">
    <tabColor rgb="FF7030A0"/>
  </sheetPr>
  <dimension ref="A1:G247"/>
  <sheetViews>
    <sheetView workbookViewId="0">
      <selection activeCell="F4" sqref="F4"/>
    </sheetView>
  </sheetViews>
  <sheetFormatPr defaultColWidth="9" defaultRowHeight="14.4"/>
  <cols>
    <col min="2" max="2" width="33.88671875" customWidth="1"/>
    <col min="4" max="4" width="11" customWidth="1"/>
    <col min="6" max="6" width="12.5546875" bestFit="1" customWidth="1"/>
  </cols>
  <sheetData>
    <row r="1" spans="1:7" s="1" customFormat="1"/>
    <row r="2" spans="1:7">
      <c r="A2" s="74">
        <v>18004075</v>
      </c>
      <c r="B2" s="75" t="s">
        <v>139</v>
      </c>
      <c r="C2" s="76">
        <v>4</v>
      </c>
      <c r="D2" s="16">
        <v>140539.01083333333</v>
      </c>
      <c r="F2" s="101" t="e">
        <f>#REF!+#REF!+#REF!</f>
        <v>#REF!</v>
      </c>
      <c r="G2" s="102" t="s">
        <v>368</v>
      </c>
    </row>
    <row r="3" spans="1:7">
      <c r="A3" s="74">
        <v>18004223</v>
      </c>
      <c r="B3" s="75" t="s">
        <v>140</v>
      </c>
      <c r="C3" s="76">
        <v>4</v>
      </c>
      <c r="D3" s="77">
        <v>306540.81</v>
      </c>
      <c r="F3" s="101" t="e">
        <f>#REF!+#REF!+#REF!</f>
        <v>#REF!</v>
      </c>
      <c r="G3" s="102" t="s">
        <v>369</v>
      </c>
    </row>
    <row r="4" spans="1:7">
      <c r="A4" s="74">
        <v>18004173</v>
      </c>
      <c r="B4" s="75" t="s">
        <v>141</v>
      </c>
      <c r="C4" s="76">
        <v>4</v>
      </c>
      <c r="D4" s="16">
        <v>269852.86333333334</v>
      </c>
      <c r="F4" s="1"/>
    </row>
    <row r="5" spans="1:7">
      <c r="A5" s="74">
        <v>18004184</v>
      </c>
      <c r="B5" s="75" t="s">
        <v>142</v>
      </c>
      <c r="C5" s="76">
        <v>4</v>
      </c>
      <c r="D5" s="77">
        <v>202121.66</v>
      </c>
      <c r="F5" s="1"/>
    </row>
    <row r="6" spans="1:7">
      <c r="A6" s="74">
        <v>18004183</v>
      </c>
      <c r="B6" s="75" t="s">
        <v>143</v>
      </c>
      <c r="C6" s="76">
        <v>4</v>
      </c>
      <c r="D6" s="77">
        <v>162095.29250000001</v>
      </c>
      <c r="F6" s="1"/>
    </row>
    <row r="7" spans="1:7">
      <c r="A7" s="74">
        <v>18004316</v>
      </c>
      <c r="B7" s="75" t="s">
        <v>144</v>
      </c>
      <c r="C7" s="76">
        <v>4</v>
      </c>
      <c r="D7" s="77">
        <v>340454.1925</v>
      </c>
      <c r="F7" s="1"/>
    </row>
    <row r="8" spans="1:7">
      <c r="A8" s="74">
        <v>18004342</v>
      </c>
      <c r="B8" s="75" t="s">
        <v>145</v>
      </c>
      <c r="C8" s="76">
        <v>4</v>
      </c>
      <c r="D8" s="77">
        <v>267099.57416666666</v>
      </c>
      <c r="F8" s="1"/>
    </row>
    <row r="9" spans="1:7">
      <c r="A9" s="74">
        <v>18004562</v>
      </c>
      <c r="B9" s="75" t="s">
        <v>146</v>
      </c>
      <c r="C9" s="76">
        <v>4</v>
      </c>
      <c r="D9" s="77">
        <v>212227.68999999997</v>
      </c>
      <c r="F9" s="1"/>
    </row>
    <row r="10" spans="1:7">
      <c r="A10" s="74">
        <v>18004079</v>
      </c>
      <c r="B10" s="75" t="s">
        <v>147</v>
      </c>
      <c r="C10" s="76">
        <v>4</v>
      </c>
      <c r="D10" s="16">
        <v>202064.535</v>
      </c>
      <c r="F10" s="1"/>
    </row>
    <row r="11" spans="1:7">
      <c r="A11" s="74">
        <v>18004140</v>
      </c>
      <c r="B11" s="75" t="s">
        <v>148</v>
      </c>
      <c r="C11" s="76">
        <v>4</v>
      </c>
      <c r="D11" s="16">
        <v>159734.68083333332</v>
      </c>
      <c r="F11" s="1"/>
    </row>
    <row r="12" spans="1:7">
      <c r="A12" s="74">
        <v>18004564</v>
      </c>
      <c r="B12" s="75" t="s">
        <v>149</v>
      </c>
      <c r="C12" s="76">
        <v>4</v>
      </c>
      <c r="D12" s="77">
        <v>158890.43416666667</v>
      </c>
      <c r="F12" s="1"/>
    </row>
    <row r="13" spans="1:7">
      <c r="A13" s="74">
        <v>18004439</v>
      </c>
      <c r="B13" s="75" t="s">
        <v>150</v>
      </c>
      <c r="C13" s="76">
        <v>4</v>
      </c>
      <c r="D13" s="78">
        <v>139879.22083333333</v>
      </c>
      <c r="F13" s="1"/>
    </row>
    <row r="14" spans="1:7">
      <c r="A14" s="74">
        <v>18006993</v>
      </c>
      <c r="B14" s="75" t="s">
        <v>3</v>
      </c>
      <c r="C14" s="76">
        <v>4</v>
      </c>
      <c r="D14" s="77">
        <v>101322.375</v>
      </c>
      <c r="F14" s="1"/>
    </row>
    <row r="15" spans="1:7">
      <c r="A15" s="74">
        <v>18006986</v>
      </c>
      <c r="B15" s="75" t="s">
        <v>4</v>
      </c>
      <c r="C15" s="76">
        <v>4</v>
      </c>
      <c r="D15" s="77">
        <v>87523.159166666665</v>
      </c>
      <c r="F15" s="1"/>
    </row>
    <row r="16" spans="1:7">
      <c r="A16" s="74">
        <v>18006975</v>
      </c>
      <c r="B16" s="75" t="s">
        <v>5</v>
      </c>
      <c r="C16" s="76">
        <v>4</v>
      </c>
      <c r="D16" s="77">
        <v>88836.007500000007</v>
      </c>
      <c r="F16" s="1"/>
    </row>
    <row r="17" spans="1:6">
      <c r="A17" s="74">
        <v>18007020</v>
      </c>
      <c r="B17" s="75" t="s">
        <v>6</v>
      </c>
      <c r="C17" s="76">
        <v>4</v>
      </c>
      <c r="D17" s="77">
        <v>102031.63666666666</v>
      </c>
      <c r="F17" s="1"/>
    </row>
    <row r="18" spans="1:6">
      <c r="A18" s="74">
        <v>18004099</v>
      </c>
      <c r="B18" s="75" t="s">
        <v>151</v>
      </c>
      <c r="C18" s="76">
        <v>4</v>
      </c>
      <c r="D18" s="77">
        <v>263502.53583333333</v>
      </c>
      <c r="F18" s="1"/>
    </row>
    <row r="19" spans="1:6">
      <c r="A19" s="74">
        <v>18004390</v>
      </c>
      <c r="B19" s="75" t="s">
        <v>152</v>
      </c>
      <c r="C19" s="76">
        <v>9</v>
      </c>
      <c r="D19" s="77">
        <v>193401.26333333334</v>
      </c>
      <c r="F19" s="1"/>
    </row>
    <row r="20" spans="1:6">
      <c r="A20" s="74">
        <v>18006977</v>
      </c>
      <c r="B20" s="74" t="s">
        <v>153</v>
      </c>
      <c r="C20" s="76">
        <v>14</v>
      </c>
      <c r="D20" s="77">
        <v>102031.63666666666</v>
      </c>
      <c r="F20" s="1"/>
    </row>
    <row r="21" spans="1:6">
      <c r="A21" s="74">
        <v>18006970</v>
      </c>
      <c r="B21" s="75" t="s">
        <v>154</v>
      </c>
      <c r="C21" s="76">
        <v>14</v>
      </c>
      <c r="D21" s="77">
        <v>102031.63666666666</v>
      </c>
      <c r="F21" s="1"/>
    </row>
    <row r="22" spans="1:6">
      <c r="A22" s="74">
        <v>18004310</v>
      </c>
      <c r="B22" s="75" t="s">
        <v>155</v>
      </c>
      <c r="C22" s="76">
        <v>14</v>
      </c>
      <c r="D22" s="78">
        <v>121914.37</v>
      </c>
      <c r="F22" s="1"/>
    </row>
    <row r="23" spans="1:6">
      <c r="A23" s="74">
        <v>18006980</v>
      </c>
      <c r="B23" s="75" t="s">
        <v>156</v>
      </c>
      <c r="C23" s="76">
        <v>14</v>
      </c>
      <c r="D23" s="77">
        <v>92086.21</v>
      </c>
      <c r="F23" s="1"/>
    </row>
    <row r="24" spans="1:6">
      <c r="A24" s="74">
        <v>18006985</v>
      </c>
      <c r="B24" s="75" t="s">
        <v>157</v>
      </c>
      <c r="C24" s="76">
        <v>14</v>
      </c>
      <c r="D24" s="77">
        <v>100523.77500000001</v>
      </c>
      <c r="F24" s="1"/>
    </row>
    <row r="25" spans="1:6">
      <c r="A25" s="74">
        <v>18006753</v>
      </c>
      <c r="B25" s="75" t="s">
        <v>158</v>
      </c>
      <c r="C25" s="76">
        <v>14</v>
      </c>
      <c r="D25" s="77">
        <v>92086.21</v>
      </c>
      <c r="F25" s="1"/>
    </row>
    <row r="26" spans="1:6">
      <c r="A26" s="74">
        <v>18006757</v>
      </c>
      <c r="B26" s="75" t="s">
        <v>159</v>
      </c>
      <c r="C26" s="76">
        <v>14</v>
      </c>
      <c r="D26" s="77">
        <v>92086.21</v>
      </c>
      <c r="F26" s="1"/>
    </row>
    <row r="27" spans="1:6">
      <c r="A27" s="74">
        <v>18006759</v>
      </c>
      <c r="B27" s="75" t="s">
        <v>160</v>
      </c>
      <c r="C27" s="76">
        <v>14</v>
      </c>
      <c r="D27" s="78">
        <v>92539.83666666667</v>
      </c>
      <c r="F27" s="1"/>
    </row>
    <row r="28" spans="1:6">
      <c r="A28" s="74">
        <v>18006751</v>
      </c>
      <c r="B28" s="75" t="s">
        <v>161</v>
      </c>
      <c r="C28" s="76">
        <v>14</v>
      </c>
      <c r="D28" s="77">
        <v>92539.83666666667</v>
      </c>
      <c r="F28" s="1"/>
    </row>
    <row r="29" spans="1:6">
      <c r="A29" s="74">
        <v>18006756</v>
      </c>
      <c r="B29" s="75" t="s">
        <v>162</v>
      </c>
      <c r="C29" s="76">
        <v>14</v>
      </c>
      <c r="D29" s="77">
        <v>92539.83666666667</v>
      </c>
      <c r="F29" s="1"/>
    </row>
    <row r="30" spans="1:6">
      <c r="A30" s="74">
        <v>18006752</v>
      </c>
      <c r="B30" s="75" t="s">
        <v>163</v>
      </c>
      <c r="C30" s="76">
        <v>14</v>
      </c>
      <c r="D30" s="77">
        <v>92539.83666666667</v>
      </c>
      <c r="F30" s="1"/>
    </row>
    <row r="31" spans="1:6">
      <c r="A31" s="74">
        <v>18006755</v>
      </c>
      <c r="B31" s="75" t="s">
        <v>164</v>
      </c>
      <c r="C31" s="76">
        <v>14</v>
      </c>
      <c r="D31" s="77">
        <v>92086.21</v>
      </c>
      <c r="F31" s="1"/>
    </row>
    <row r="32" spans="1:6">
      <c r="A32" s="74">
        <v>18004522</v>
      </c>
      <c r="B32" s="75" t="s">
        <v>165</v>
      </c>
      <c r="C32" s="76">
        <v>14</v>
      </c>
      <c r="D32" s="77">
        <v>159640.08333333334</v>
      </c>
      <c r="F32" s="1"/>
    </row>
    <row r="33" spans="1:6">
      <c r="A33" s="74">
        <v>18004525</v>
      </c>
      <c r="B33" s="75" t="s">
        <v>166</v>
      </c>
      <c r="C33" s="76">
        <v>14</v>
      </c>
      <c r="D33" s="77">
        <v>156540.88166666668</v>
      </c>
      <c r="F33" s="1"/>
    </row>
    <row r="34" spans="1:6">
      <c r="A34" s="74">
        <v>18004194</v>
      </c>
      <c r="B34" s="75" t="s">
        <v>167</v>
      </c>
      <c r="C34" s="76">
        <v>14</v>
      </c>
      <c r="D34" s="78">
        <v>265669.19583333336</v>
      </c>
      <c r="F34" s="1"/>
    </row>
    <row r="35" spans="1:6">
      <c r="A35" s="74">
        <v>18004409</v>
      </c>
      <c r="B35" s="75" t="s">
        <v>130</v>
      </c>
      <c r="C35" s="76">
        <v>3</v>
      </c>
      <c r="D35" s="77">
        <v>195777.23083333333</v>
      </c>
      <c r="F35" s="1"/>
    </row>
    <row r="36" spans="1:6">
      <c r="A36" s="74">
        <v>18004329</v>
      </c>
      <c r="B36" s="75" t="s">
        <v>131</v>
      </c>
      <c r="C36" s="76">
        <v>3</v>
      </c>
      <c r="D36" s="77">
        <v>194014.35166666668</v>
      </c>
      <c r="F36" s="1"/>
    </row>
    <row r="37" spans="1:6">
      <c r="A37" s="79">
        <v>18008107</v>
      </c>
      <c r="B37" s="80" t="s">
        <v>107</v>
      </c>
      <c r="C37" s="81">
        <v>3</v>
      </c>
      <c r="D37" s="82">
        <v>83830.544999999998</v>
      </c>
      <c r="F37" s="1"/>
    </row>
    <row r="38" spans="1:6">
      <c r="A38" s="79">
        <v>18008088</v>
      </c>
      <c r="B38" s="80" t="s">
        <v>108</v>
      </c>
      <c r="C38" s="81">
        <v>3</v>
      </c>
      <c r="D38" s="82">
        <v>83830.544999999998</v>
      </c>
      <c r="F38" s="1"/>
    </row>
    <row r="39" spans="1:6">
      <c r="A39" s="74">
        <v>18004410</v>
      </c>
      <c r="B39" s="75" t="s">
        <v>132</v>
      </c>
      <c r="C39" s="76">
        <v>3</v>
      </c>
      <c r="D39" s="77">
        <v>222028.96583333332</v>
      </c>
      <c r="F39" s="1"/>
    </row>
    <row r="40" spans="1:6">
      <c r="A40" s="74">
        <v>18000601</v>
      </c>
      <c r="B40" s="75" t="s">
        <v>125</v>
      </c>
      <c r="C40" s="76">
        <v>3</v>
      </c>
      <c r="D40" s="77">
        <v>250626.87749999997</v>
      </c>
      <c r="F40" s="1"/>
    </row>
    <row r="41" spans="1:6">
      <c r="A41" s="74">
        <v>18004357</v>
      </c>
      <c r="B41" s="75" t="s">
        <v>133</v>
      </c>
      <c r="C41" s="76">
        <v>3</v>
      </c>
      <c r="D41" s="16">
        <v>160396.56916666668</v>
      </c>
      <c r="F41" s="1"/>
    </row>
    <row r="42" spans="1:6">
      <c r="A42" s="74">
        <v>18004252</v>
      </c>
      <c r="B42" s="75" t="s">
        <v>134</v>
      </c>
      <c r="C42" s="76">
        <v>3</v>
      </c>
      <c r="D42" s="77">
        <v>198180.84083333332</v>
      </c>
      <c r="F42" s="1"/>
    </row>
    <row r="43" spans="1:6">
      <c r="A43" s="74">
        <v>18004481</v>
      </c>
      <c r="B43" s="75" t="s">
        <v>135</v>
      </c>
      <c r="C43" s="76">
        <v>3</v>
      </c>
      <c r="D43" s="77">
        <v>226464.16083333336</v>
      </c>
      <c r="F43" s="1"/>
    </row>
    <row r="44" spans="1:6">
      <c r="A44" s="74">
        <v>18004523</v>
      </c>
      <c r="B44" s="75" t="s">
        <v>136</v>
      </c>
      <c r="C44" s="76">
        <v>3</v>
      </c>
      <c r="D44" s="77">
        <v>196924.56499999997</v>
      </c>
      <c r="F44" s="1"/>
    </row>
    <row r="45" spans="1:6">
      <c r="A45" s="74">
        <v>18004314</v>
      </c>
      <c r="B45" s="75" t="s">
        <v>137</v>
      </c>
      <c r="C45" s="76">
        <v>3</v>
      </c>
      <c r="D45" s="77">
        <v>228898.83166666667</v>
      </c>
      <c r="F45" s="1"/>
    </row>
    <row r="46" spans="1:6">
      <c r="A46" s="74">
        <v>18004443</v>
      </c>
      <c r="B46" s="75" t="s">
        <v>138</v>
      </c>
      <c r="C46" s="76">
        <v>3</v>
      </c>
      <c r="D46" s="78">
        <v>149593.78083333335</v>
      </c>
      <c r="F46" s="1"/>
    </row>
    <row r="47" spans="1:6">
      <c r="A47" s="74">
        <v>18005498</v>
      </c>
      <c r="B47" s="75" t="s">
        <v>168</v>
      </c>
      <c r="C47" s="76">
        <v>9</v>
      </c>
      <c r="D47" s="78">
        <v>100512.98333333334</v>
      </c>
      <c r="F47" s="1"/>
    </row>
    <row r="48" spans="1:6">
      <c r="A48" s="74">
        <v>18004616</v>
      </c>
      <c r="B48" s="75" t="s">
        <v>169</v>
      </c>
      <c r="C48" s="76">
        <v>9</v>
      </c>
      <c r="D48" s="77">
        <v>206657.26333333334</v>
      </c>
      <c r="F48" s="1"/>
    </row>
    <row r="49" spans="1:6">
      <c r="A49" s="74">
        <v>18004539</v>
      </c>
      <c r="B49" s="75" t="s">
        <v>170</v>
      </c>
      <c r="C49" s="76">
        <v>9</v>
      </c>
      <c r="D49" s="77">
        <v>223753.8475</v>
      </c>
      <c r="F49" s="1"/>
    </row>
    <row r="50" spans="1:6">
      <c r="A50" s="74">
        <v>18004168</v>
      </c>
      <c r="B50" s="75" t="s">
        <v>171</v>
      </c>
      <c r="C50" s="76">
        <v>3</v>
      </c>
      <c r="D50" s="77">
        <v>218525.03416666668</v>
      </c>
      <c r="F50" s="1"/>
    </row>
    <row r="51" spans="1:6">
      <c r="A51" s="74">
        <v>18004275</v>
      </c>
      <c r="B51" s="75" t="s">
        <v>172</v>
      </c>
      <c r="C51" s="76">
        <v>9</v>
      </c>
      <c r="D51" s="77">
        <v>155802.58083333334</v>
      </c>
      <c r="F51" s="1"/>
    </row>
    <row r="52" spans="1:6">
      <c r="A52" s="74">
        <v>18004633</v>
      </c>
      <c r="B52" s="75" t="s">
        <v>173</v>
      </c>
      <c r="C52" s="76">
        <v>9</v>
      </c>
      <c r="D52" s="77">
        <v>179173.58583333332</v>
      </c>
      <c r="F52" s="1"/>
    </row>
    <row r="53" spans="1:6">
      <c r="A53" s="74">
        <v>18004515</v>
      </c>
      <c r="B53" s="75" t="s">
        <v>174</v>
      </c>
      <c r="C53" s="76">
        <v>9</v>
      </c>
      <c r="D53" s="77">
        <v>155064.13833333334</v>
      </c>
      <c r="F53" s="1"/>
    </row>
    <row r="54" spans="1:6">
      <c r="A54" s="74">
        <v>18004585</v>
      </c>
      <c r="B54" s="75" t="s">
        <v>175</v>
      </c>
      <c r="C54" s="76">
        <v>9</v>
      </c>
      <c r="D54" s="77">
        <v>198180.84083333332</v>
      </c>
      <c r="F54" s="1"/>
    </row>
    <row r="55" spans="1:6">
      <c r="A55" s="74">
        <v>18004071</v>
      </c>
      <c r="B55" s="75" t="s">
        <v>176</v>
      </c>
      <c r="C55" s="76">
        <v>9</v>
      </c>
      <c r="D55" s="16">
        <v>160861.7475</v>
      </c>
      <c r="F55" s="1"/>
    </row>
    <row r="56" spans="1:6">
      <c r="A56" s="74">
        <v>18004389</v>
      </c>
      <c r="B56" s="75" t="s">
        <v>177</v>
      </c>
      <c r="C56" s="76">
        <v>9</v>
      </c>
      <c r="D56" s="77">
        <v>167167.47500000001</v>
      </c>
      <c r="F56" s="1"/>
    </row>
    <row r="57" spans="1:6">
      <c r="A57" s="74">
        <v>18004427</v>
      </c>
      <c r="B57" s="75" t="s">
        <v>178</v>
      </c>
      <c r="C57" s="76">
        <v>9</v>
      </c>
      <c r="D57" s="77">
        <v>179173.58583333332</v>
      </c>
      <c r="F57" s="1"/>
    </row>
    <row r="58" spans="1:6">
      <c r="A58" s="74">
        <v>18004290</v>
      </c>
      <c r="B58" s="75" t="s">
        <v>179</v>
      </c>
      <c r="C58" s="76">
        <v>9</v>
      </c>
      <c r="D58" s="77">
        <v>257873.21416666664</v>
      </c>
      <c r="F58" s="1"/>
    </row>
    <row r="59" spans="1:6">
      <c r="A59" s="74">
        <v>18004321</v>
      </c>
      <c r="B59" s="75" t="s">
        <v>180</v>
      </c>
      <c r="C59" s="76">
        <v>9</v>
      </c>
      <c r="D59" s="78">
        <v>152397.185</v>
      </c>
      <c r="F59" s="1"/>
    </row>
    <row r="60" spans="1:6">
      <c r="A60" s="74">
        <v>18004441</v>
      </c>
      <c r="B60" s="75" t="s">
        <v>181</v>
      </c>
      <c r="C60" s="76">
        <v>9</v>
      </c>
      <c r="D60" s="77">
        <v>201575.0925</v>
      </c>
      <c r="F60" s="1"/>
    </row>
    <row r="61" spans="1:6">
      <c r="A61" s="74">
        <v>18004319</v>
      </c>
      <c r="B61" s="75" t="s">
        <v>182</v>
      </c>
      <c r="C61" s="76">
        <v>9</v>
      </c>
      <c r="D61" s="77">
        <v>210149.13833333334</v>
      </c>
      <c r="F61" s="1"/>
    </row>
    <row r="62" spans="1:6">
      <c r="A62" s="74">
        <v>18004081</v>
      </c>
      <c r="B62" s="75" t="s">
        <v>183</v>
      </c>
      <c r="C62" s="76">
        <v>9</v>
      </c>
      <c r="D62" s="77">
        <v>248892.50416666665</v>
      </c>
      <c r="F62" s="1"/>
    </row>
    <row r="63" spans="1:6">
      <c r="A63" s="74">
        <v>18004588</v>
      </c>
      <c r="B63" s="75" t="s">
        <v>184</v>
      </c>
      <c r="C63" s="76">
        <v>9</v>
      </c>
      <c r="D63" s="77">
        <v>223577.85666666666</v>
      </c>
      <c r="F63" s="1"/>
    </row>
    <row r="64" spans="1:6">
      <c r="A64" s="74">
        <v>18007737</v>
      </c>
      <c r="B64" s="79" t="s">
        <v>185</v>
      </c>
      <c r="C64" s="76">
        <v>9</v>
      </c>
      <c r="D64" s="77">
        <v>92213.592500000013</v>
      </c>
      <c r="F64" s="1"/>
    </row>
    <row r="65" spans="1:6">
      <c r="A65" s="74">
        <v>18004634</v>
      </c>
      <c r="B65" s="75" t="s">
        <v>186</v>
      </c>
      <c r="C65" s="76">
        <v>10</v>
      </c>
      <c r="D65" s="77">
        <v>180536.98416666666</v>
      </c>
      <c r="F65" s="1"/>
    </row>
    <row r="66" spans="1:6">
      <c r="A66" s="74">
        <v>18004548</v>
      </c>
      <c r="B66" s="75" t="s">
        <v>187</v>
      </c>
      <c r="C66" s="76">
        <v>10</v>
      </c>
      <c r="D66" s="77">
        <v>211213.77583333335</v>
      </c>
      <c r="F66" s="1"/>
    </row>
    <row r="67" spans="1:6">
      <c r="A67" s="74">
        <v>18004582</v>
      </c>
      <c r="B67" s="75" t="s">
        <v>188</v>
      </c>
      <c r="C67" s="76">
        <v>10</v>
      </c>
      <c r="D67" s="77">
        <v>155064.13833333334</v>
      </c>
      <c r="F67" s="1"/>
    </row>
    <row r="68" spans="1:6">
      <c r="A68" s="74">
        <v>18004627</v>
      </c>
      <c r="B68" s="75" t="s">
        <v>189</v>
      </c>
      <c r="C68" s="76">
        <v>10</v>
      </c>
      <c r="D68" s="77">
        <v>178324.48750000002</v>
      </c>
      <c r="F68" s="1"/>
    </row>
    <row r="69" spans="1:6">
      <c r="A69" s="74">
        <v>18004646</v>
      </c>
      <c r="B69" s="75" t="s">
        <v>190</v>
      </c>
      <c r="C69" s="76">
        <v>10</v>
      </c>
      <c r="D69" s="77">
        <v>248892.50416666665</v>
      </c>
      <c r="F69" s="1"/>
    </row>
    <row r="70" spans="1:6">
      <c r="A70" s="83">
        <v>18005363</v>
      </c>
      <c r="B70" s="75" t="s">
        <v>191</v>
      </c>
      <c r="C70" s="76">
        <v>10</v>
      </c>
      <c r="D70" s="77">
        <v>132928.93666666668</v>
      </c>
      <c r="F70" s="1"/>
    </row>
    <row r="71" spans="1:6">
      <c r="A71" s="74">
        <v>18004243</v>
      </c>
      <c r="B71" s="75" t="s">
        <v>192</v>
      </c>
      <c r="C71" s="76">
        <v>10</v>
      </c>
      <c r="D71" s="77">
        <v>212692.26</v>
      </c>
      <c r="F71" s="1"/>
    </row>
    <row r="72" spans="1:6">
      <c r="A72" s="74">
        <v>18004361</v>
      </c>
      <c r="B72" s="75" t="s">
        <v>193</v>
      </c>
      <c r="C72" s="76">
        <v>10</v>
      </c>
      <c r="D72" s="77">
        <v>154364.39833333335</v>
      </c>
      <c r="F72" s="1"/>
    </row>
    <row r="73" spans="1:6">
      <c r="A73" s="74">
        <v>18004587</v>
      </c>
      <c r="B73" s="75" t="s">
        <v>194</v>
      </c>
      <c r="C73" s="76">
        <v>10</v>
      </c>
      <c r="D73" s="78">
        <v>142236.96416666667</v>
      </c>
      <c r="F73" s="1"/>
    </row>
    <row r="74" spans="1:6">
      <c r="A74" s="74">
        <v>18004088</v>
      </c>
      <c r="B74" s="75" t="s">
        <v>195</v>
      </c>
      <c r="C74" s="76">
        <v>10</v>
      </c>
      <c r="D74" s="77">
        <v>223392.51749999999</v>
      </c>
      <c r="F74" s="1"/>
    </row>
    <row r="75" spans="1:6">
      <c r="A75" s="74">
        <v>18004437</v>
      </c>
      <c r="B75" s="75" t="s">
        <v>196</v>
      </c>
      <c r="C75" s="76">
        <v>10</v>
      </c>
      <c r="D75" s="77">
        <v>155802.58083333334</v>
      </c>
      <c r="F75" s="1"/>
    </row>
    <row r="76" spans="1:6">
      <c r="A76" s="74">
        <v>18004162</v>
      </c>
      <c r="B76" s="75" t="s">
        <v>197</v>
      </c>
      <c r="C76" s="76">
        <v>10</v>
      </c>
      <c r="D76" s="77">
        <v>158122.15083333335</v>
      </c>
      <c r="F76" s="1"/>
    </row>
    <row r="77" spans="1:6">
      <c r="A77" s="74">
        <v>18004484</v>
      </c>
      <c r="B77" s="75" t="s">
        <v>198</v>
      </c>
      <c r="C77" s="76">
        <v>10</v>
      </c>
      <c r="D77" s="77">
        <v>156988.05083333334</v>
      </c>
      <c r="F77" s="1"/>
    </row>
    <row r="78" spans="1:6">
      <c r="A78" s="80">
        <v>18008089</v>
      </c>
      <c r="B78" s="79" t="s">
        <v>199</v>
      </c>
      <c r="C78" s="81">
        <v>10</v>
      </c>
      <c r="D78" s="82">
        <v>83830.544999999998</v>
      </c>
      <c r="F78" s="1"/>
    </row>
    <row r="79" spans="1:6">
      <c r="A79" s="84">
        <v>18006448</v>
      </c>
      <c r="B79" s="75" t="s">
        <v>200</v>
      </c>
      <c r="C79" s="76">
        <v>10</v>
      </c>
      <c r="D79" s="85">
        <v>107704.58333333333</v>
      </c>
      <c r="F79" s="1"/>
    </row>
    <row r="80" spans="1:6">
      <c r="A80" s="74">
        <v>18005360</v>
      </c>
      <c r="B80" s="75" t="s">
        <v>201</v>
      </c>
      <c r="C80" s="76">
        <v>10</v>
      </c>
      <c r="D80" s="78">
        <v>100512.98333333334</v>
      </c>
      <c r="F80" s="1"/>
    </row>
    <row r="81" spans="1:6">
      <c r="A81" s="74">
        <v>18005156</v>
      </c>
      <c r="B81" s="75" t="s">
        <v>202</v>
      </c>
      <c r="C81" s="76">
        <v>11</v>
      </c>
      <c r="D81" s="78">
        <v>103277.04166666667</v>
      </c>
      <c r="F81" s="1"/>
    </row>
    <row r="82" spans="1:6">
      <c r="A82" s="74">
        <v>18005153</v>
      </c>
      <c r="B82" s="75" t="s">
        <v>203</v>
      </c>
      <c r="C82" s="76">
        <v>11</v>
      </c>
      <c r="D82" s="78">
        <v>118769.12916666667</v>
      </c>
      <c r="F82" s="1"/>
    </row>
    <row r="83" spans="1:6">
      <c r="A83" s="74">
        <v>18006991</v>
      </c>
      <c r="B83" s="75" t="s">
        <v>204</v>
      </c>
      <c r="C83" s="76">
        <v>11</v>
      </c>
      <c r="D83" s="77">
        <v>102031.63666666666</v>
      </c>
      <c r="F83" s="1"/>
    </row>
    <row r="84" spans="1:6">
      <c r="A84" s="74">
        <v>18004102</v>
      </c>
      <c r="B84" s="75" t="s">
        <v>205</v>
      </c>
      <c r="C84" s="76">
        <v>11</v>
      </c>
      <c r="D84" s="77">
        <v>156540.88166666668</v>
      </c>
      <c r="F84" s="1"/>
    </row>
    <row r="85" spans="1:6">
      <c r="A85" s="74">
        <v>18004130</v>
      </c>
      <c r="B85" s="75" t="s">
        <v>206</v>
      </c>
      <c r="C85" s="76">
        <v>11</v>
      </c>
      <c r="D85" s="77">
        <v>210220.77083333334</v>
      </c>
      <c r="F85" s="1"/>
    </row>
    <row r="86" spans="1:6">
      <c r="A86" s="74">
        <v>18005154</v>
      </c>
      <c r="B86" s="75" t="s">
        <v>207</v>
      </c>
      <c r="C86" s="76">
        <v>11</v>
      </c>
      <c r="D86" s="78">
        <v>102559.12166666666</v>
      </c>
      <c r="F86" s="1"/>
    </row>
    <row r="87" spans="1:6">
      <c r="A87" s="74">
        <v>18005160</v>
      </c>
      <c r="B87" s="75" t="s">
        <v>208</v>
      </c>
      <c r="C87" s="76">
        <v>11</v>
      </c>
      <c r="D87" s="78">
        <v>103277.04166666667</v>
      </c>
      <c r="F87" s="1"/>
    </row>
    <row r="88" spans="1:6">
      <c r="A88" s="74">
        <v>18004334</v>
      </c>
      <c r="B88" s="75" t="s">
        <v>209</v>
      </c>
      <c r="C88" s="76">
        <v>11</v>
      </c>
      <c r="D88" s="77">
        <v>156540.88166666668</v>
      </c>
      <c r="F88" s="1"/>
    </row>
    <row r="89" spans="1:6">
      <c r="A89" s="74">
        <v>18005151</v>
      </c>
      <c r="B89" s="86" t="s">
        <v>210</v>
      </c>
      <c r="C89" s="76">
        <v>11</v>
      </c>
      <c r="D89" s="78">
        <v>118769.12916666667</v>
      </c>
      <c r="F89" s="1"/>
    </row>
    <row r="90" spans="1:6">
      <c r="A90" s="74">
        <v>18005157</v>
      </c>
      <c r="B90" s="75" t="s">
        <v>211</v>
      </c>
      <c r="C90" s="76">
        <v>11</v>
      </c>
      <c r="D90" s="78">
        <v>103277.04166666667</v>
      </c>
      <c r="F90" s="1"/>
    </row>
    <row r="91" spans="1:6">
      <c r="A91" s="74">
        <v>18006981</v>
      </c>
      <c r="B91" s="86" t="s">
        <v>212</v>
      </c>
      <c r="C91" s="76">
        <v>11</v>
      </c>
      <c r="D91" s="78">
        <v>100523.77500000001</v>
      </c>
      <c r="F91" s="1"/>
    </row>
    <row r="92" spans="1:6">
      <c r="A92" s="74">
        <v>18004533</v>
      </c>
      <c r="B92" s="75" t="s">
        <v>213</v>
      </c>
      <c r="C92" s="76">
        <v>12</v>
      </c>
      <c r="D92" s="16">
        <v>158890.43416666667</v>
      </c>
      <c r="F92" s="1"/>
    </row>
    <row r="93" spans="1:6">
      <c r="A93" s="74">
        <v>18004320</v>
      </c>
      <c r="B93" s="75" t="s">
        <v>214</v>
      </c>
      <c r="C93" s="76">
        <v>12</v>
      </c>
      <c r="D93" s="78">
        <v>143258.24249999999</v>
      </c>
      <c r="F93" s="1"/>
    </row>
    <row r="94" spans="1:6">
      <c r="A94" s="74">
        <v>18004524</v>
      </c>
      <c r="B94" s="75" t="s">
        <v>215</v>
      </c>
      <c r="C94" s="76">
        <v>12</v>
      </c>
      <c r="D94" s="77">
        <v>155802.58083333334</v>
      </c>
      <c r="F94" s="1"/>
    </row>
    <row r="95" spans="1:6">
      <c r="A95" s="74">
        <v>18004459</v>
      </c>
      <c r="B95" s="75" t="s">
        <v>216</v>
      </c>
      <c r="C95" s="76">
        <v>12</v>
      </c>
      <c r="D95" s="78">
        <v>121009.67</v>
      </c>
      <c r="F95" s="1"/>
    </row>
    <row r="96" spans="1:6">
      <c r="A96" s="74">
        <v>18004430</v>
      </c>
      <c r="B96" s="75" t="s">
        <v>217</v>
      </c>
      <c r="C96" s="76">
        <v>12</v>
      </c>
      <c r="D96" s="77">
        <v>221482.59166666667</v>
      </c>
      <c r="F96" s="1"/>
    </row>
    <row r="97" spans="1:6">
      <c r="A97" s="74">
        <v>18006051</v>
      </c>
      <c r="B97" s="75" t="s">
        <v>114</v>
      </c>
      <c r="C97" s="76">
        <v>12</v>
      </c>
      <c r="D97" s="78">
        <v>95355.505833333344</v>
      </c>
      <c r="F97" s="1"/>
    </row>
    <row r="98" spans="1:6">
      <c r="A98" s="74">
        <v>18004488</v>
      </c>
      <c r="B98" s="75" t="s">
        <v>218</v>
      </c>
      <c r="C98" s="76">
        <v>12</v>
      </c>
      <c r="D98" s="77">
        <v>157906.37333333332</v>
      </c>
      <c r="F98" s="1"/>
    </row>
    <row r="99" spans="1:6">
      <c r="A99" s="74">
        <v>18004463</v>
      </c>
      <c r="B99" s="75" t="s">
        <v>220</v>
      </c>
      <c r="C99" s="76">
        <v>12</v>
      </c>
      <c r="D99" s="2">
        <v>121577.86749999999</v>
      </c>
      <c r="F99" s="1"/>
    </row>
    <row r="100" spans="1:6">
      <c r="A100" s="74">
        <v>18004265</v>
      </c>
      <c r="B100" s="75" t="s">
        <v>221</v>
      </c>
      <c r="C100" s="76">
        <v>12</v>
      </c>
      <c r="D100" s="77">
        <v>196213.30666666667</v>
      </c>
      <c r="F100" s="1"/>
    </row>
    <row r="101" spans="1:6">
      <c r="A101" s="74">
        <v>18004362</v>
      </c>
      <c r="B101" s="75" t="s">
        <v>222</v>
      </c>
      <c r="C101" s="76">
        <v>12</v>
      </c>
      <c r="D101" s="77">
        <v>159640.08333333334</v>
      </c>
      <c r="F101" s="1"/>
    </row>
    <row r="102" spans="1:6">
      <c r="A102" s="74">
        <v>18004266</v>
      </c>
      <c r="B102" s="75" t="s">
        <v>223</v>
      </c>
      <c r="C102" s="76">
        <v>12</v>
      </c>
      <c r="D102" s="77">
        <v>197147.66333333333</v>
      </c>
      <c r="F102" s="1"/>
    </row>
    <row r="103" spans="1:6">
      <c r="A103" s="74">
        <v>18004425</v>
      </c>
      <c r="B103" s="75" t="s">
        <v>224</v>
      </c>
      <c r="C103" s="76">
        <v>12</v>
      </c>
      <c r="D103" s="77">
        <v>218456.5625</v>
      </c>
      <c r="F103" s="1"/>
    </row>
    <row r="104" spans="1:6">
      <c r="A104" s="74">
        <v>18004344</v>
      </c>
      <c r="B104" s="75" t="s">
        <v>225</v>
      </c>
      <c r="C104" s="76">
        <v>12</v>
      </c>
      <c r="D104" s="77">
        <v>197296.50166666668</v>
      </c>
      <c r="F104" s="1"/>
    </row>
    <row r="105" spans="1:6">
      <c r="A105" s="74">
        <v>18004301</v>
      </c>
      <c r="B105" s="75" t="s">
        <v>226</v>
      </c>
      <c r="C105" s="76">
        <v>12</v>
      </c>
      <c r="D105" s="78">
        <v>121577.86749999999</v>
      </c>
      <c r="F105" s="1"/>
    </row>
    <row r="106" spans="1:6">
      <c r="A106" s="74">
        <v>18006052</v>
      </c>
      <c r="B106" s="75" t="s">
        <v>227</v>
      </c>
      <c r="C106" s="76">
        <v>12</v>
      </c>
      <c r="D106" s="77">
        <v>108235.14750000001</v>
      </c>
      <c r="F106" s="1"/>
    </row>
    <row r="107" spans="1:6">
      <c r="A107" s="74">
        <v>18005739</v>
      </c>
      <c r="B107" s="75" t="s">
        <v>228</v>
      </c>
      <c r="C107" s="76">
        <v>13</v>
      </c>
      <c r="D107" s="78">
        <v>120844.56</v>
      </c>
      <c r="F107" s="1"/>
    </row>
    <row r="108" spans="1:6">
      <c r="A108" s="74">
        <v>18005750</v>
      </c>
      <c r="B108" s="75" t="s">
        <v>7</v>
      </c>
      <c r="C108" s="76">
        <v>13</v>
      </c>
      <c r="D108" s="78">
        <v>92364.443333333344</v>
      </c>
      <c r="F108" s="1"/>
    </row>
    <row r="109" spans="1:6">
      <c r="A109" s="74">
        <v>18004614</v>
      </c>
      <c r="B109" s="75" t="s">
        <v>229</v>
      </c>
      <c r="C109" s="76">
        <v>13</v>
      </c>
      <c r="D109" s="77">
        <v>190086.17</v>
      </c>
      <c r="F109" s="1"/>
    </row>
    <row r="110" spans="1:6">
      <c r="A110" s="74">
        <v>18005740</v>
      </c>
      <c r="B110" s="75" t="s">
        <v>230</v>
      </c>
      <c r="C110" s="76">
        <v>13</v>
      </c>
      <c r="D110" s="78">
        <v>120844.56</v>
      </c>
      <c r="F110" s="1"/>
    </row>
    <row r="111" spans="1:6">
      <c r="A111" s="74">
        <v>18005163</v>
      </c>
      <c r="B111" s="75" t="s">
        <v>231</v>
      </c>
      <c r="C111" s="76">
        <v>13</v>
      </c>
      <c r="D111" s="78">
        <v>103277.04166666667</v>
      </c>
      <c r="F111" s="1"/>
    </row>
    <row r="112" spans="1:6">
      <c r="A112" s="74">
        <v>18005152</v>
      </c>
      <c r="B112" s="75" t="s">
        <v>232</v>
      </c>
      <c r="C112" s="76">
        <v>13</v>
      </c>
      <c r="D112" s="78">
        <v>107186.91333333333</v>
      </c>
      <c r="F112" s="1"/>
    </row>
    <row r="113" spans="1:6">
      <c r="A113" s="74">
        <v>18006984</v>
      </c>
      <c r="B113" s="75" t="s">
        <v>233</v>
      </c>
      <c r="C113" s="76">
        <v>13</v>
      </c>
      <c r="D113" s="77">
        <v>92086.21</v>
      </c>
      <c r="F113" s="1"/>
    </row>
    <row r="114" spans="1:6">
      <c r="A114" s="74">
        <v>18004251</v>
      </c>
      <c r="B114" s="75" t="s">
        <v>234</v>
      </c>
      <c r="C114" s="76">
        <v>13</v>
      </c>
      <c r="D114" s="77">
        <v>183653.98499999999</v>
      </c>
      <c r="F114" s="1"/>
    </row>
    <row r="115" spans="1:6">
      <c r="A115" s="74">
        <v>18004420</v>
      </c>
      <c r="B115" s="75" t="s">
        <v>235</v>
      </c>
      <c r="C115" s="76">
        <v>13</v>
      </c>
      <c r="D115" s="77">
        <v>153921.15916666665</v>
      </c>
      <c r="F115" s="1"/>
    </row>
    <row r="116" spans="1:6">
      <c r="A116" s="74">
        <v>18005748</v>
      </c>
      <c r="B116" s="75" t="s">
        <v>8</v>
      </c>
      <c r="C116" s="76">
        <v>13</v>
      </c>
      <c r="D116" s="78">
        <v>103529.27333333333</v>
      </c>
      <c r="F116" s="1"/>
    </row>
    <row r="117" spans="1:6">
      <c r="A117" s="74">
        <v>18004384</v>
      </c>
      <c r="B117" s="75" t="s">
        <v>236</v>
      </c>
      <c r="C117" s="76">
        <v>13</v>
      </c>
      <c r="D117" s="77">
        <v>216617.02666666664</v>
      </c>
      <c r="F117" s="1"/>
    </row>
    <row r="118" spans="1:6">
      <c r="A118" s="74">
        <v>18004419</v>
      </c>
      <c r="B118" s="75" t="s">
        <v>237</v>
      </c>
      <c r="C118" s="76">
        <v>13</v>
      </c>
      <c r="D118" s="77">
        <v>158561.76749999999</v>
      </c>
      <c r="F118" s="1"/>
    </row>
    <row r="119" spans="1:6">
      <c r="A119" s="74">
        <v>18006974</v>
      </c>
      <c r="B119" s="75" t="s">
        <v>238</v>
      </c>
      <c r="C119" s="76">
        <v>13</v>
      </c>
      <c r="D119" s="77">
        <v>88836.007500000007</v>
      </c>
      <c r="F119" s="1"/>
    </row>
    <row r="120" spans="1:6">
      <c r="A120" s="74">
        <v>18004476</v>
      </c>
      <c r="B120" s="75" t="s">
        <v>239</v>
      </c>
      <c r="C120" s="76">
        <v>13</v>
      </c>
      <c r="D120" s="77">
        <v>178693.125</v>
      </c>
      <c r="F120" s="1"/>
    </row>
    <row r="121" spans="1:6">
      <c r="A121" s="74">
        <v>18005746</v>
      </c>
      <c r="B121" s="75" t="s">
        <v>9</v>
      </c>
      <c r="C121" s="76">
        <v>13</v>
      </c>
      <c r="D121" s="78">
        <v>105082.0775</v>
      </c>
      <c r="F121" s="1"/>
    </row>
    <row r="122" spans="1:6">
      <c r="A122" s="74">
        <v>18006056</v>
      </c>
      <c r="B122" s="75" t="s">
        <v>240</v>
      </c>
      <c r="C122" s="76">
        <v>13</v>
      </c>
      <c r="D122" s="77">
        <v>107704.58333333333</v>
      </c>
      <c r="F122" s="1"/>
    </row>
    <row r="123" spans="1:6">
      <c r="A123" s="74">
        <v>18005747</v>
      </c>
      <c r="B123" s="75" t="s">
        <v>241</v>
      </c>
      <c r="C123" s="76">
        <v>13</v>
      </c>
      <c r="D123" s="78">
        <v>121439.85333333333</v>
      </c>
      <c r="F123" s="1"/>
    </row>
    <row r="124" spans="1:6">
      <c r="A124" s="74">
        <v>18004559</v>
      </c>
      <c r="B124" s="75" t="s">
        <v>242</v>
      </c>
      <c r="C124" s="76">
        <v>13</v>
      </c>
      <c r="D124" s="2">
        <v>136758.30916666667</v>
      </c>
      <c r="F124" s="1"/>
    </row>
    <row r="125" spans="1:6">
      <c r="A125" s="74">
        <v>18005749</v>
      </c>
      <c r="B125" s="75" t="s">
        <v>243</v>
      </c>
      <c r="C125" s="76">
        <v>13</v>
      </c>
      <c r="D125" s="78">
        <v>119058.68333333333</v>
      </c>
      <c r="F125" s="1"/>
    </row>
    <row r="126" spans="1:6">
      <c r="A126" s="74">
        <v>18004133</v>
      </c>
      <c r="B126" s="75" t="s">
        <v>244</v>
      </c>
      <c r="C126" s="76">
        <v>13</v>
      </c>
      <c r="D126" s="77">
        <v>170107.77833333335</v>
      </c>
      <c r="F126" s="1"/>
    </row>
    <row r="127" spans="1:6">
      <c r="A127" s="74">
        <v>18005159</v>
      </c>
      <c r="B127" s="75" t="s">
        <v>245</v>
      </c>
      <c r="C127" s="76">
        <v>13</v>
      </c>
      <c r="D127" s="78">
        <v>113604.78833333333</v>
      </c>
      <c r="F127" s="1"/>
    </row>
    <row r="128" spans="1:6">
      <c r="A128" s="74">
        <v>18004093</v>
      </c>
      <c r="B128" s="75" t="s">
        <v>246</v>
      </c>
      <c r="C128" s="76">
        <v>13</v>
      </c>
      <c r="D128" s="16">
        <v>162867.25666666668</v>
      </c>
      <c r="F128" s="1"/>
    </row>
    <row r="129" spans="1:6">
      <c r="A129" s="74">
        <v>18004602</v>
      </c>
      <c r="B129" s="75" t="s">
        <v>247</v>
      </c>
      <c r="C129" s="76">
        <v>13</v>
      </c>
      <c r="D129" s="16">
        <v>149135.05499999999</v>
      </c>
      <c r="F129" s="1"/>
    </row>
    <row r="130" spans="1:6">
      <c r="A130" s="74">
        <v>18005308</v>
      </c>
      <c r="B130" s="75" t="s">
        <v>248</v>
      </c>
      <c r="C130" s="76">
        <v>13</v>
      </c>
      <c r="D130" s="78">
        <v>100512.98333333334</v>
      </c>
      <c r="F130" s="1"/>
    </row>
    <row r="131" spans="1:6">
      <c r="A131" s="4">
        <v>18004589</v>
      </c>
      <c r="B131" s="3" t="s">
        <v>23</v>
      </c>
      <c r="C131" s="76" t="s">
        <v>22</v>
      </c>
      <c r="D131" s="2">
        <v>113368.47583333333</v>
      </c>
      <c r="F131" s="1"/>
    </row>
    <row r="132" spans="1:6">
      <c r="A132" s="4">
        <v>18004624</v>
      </c>
      <c r="B132" s="3" t="s">
        <v>24</v>
      </c>
      <c r="C132" s="76" t="s">
        <v>22</v>
      </c>
      <c r="D132" s="16">
        <v>159375.17000000001</v>
      </c>
      <c r="F132" s="1"/>
    </row>
    <row r="133" spans="1:6">
      <c r="A133" s="4">
        <v>18007363</v>
      </c>
      <c r="B133" s="3" t="s">
        <v>249</v>
      </c>
      <c r="C133" s="76" t="s">
        <v>22</v>
      </c>
      <c r="D133" s="2">
        <v>113926.94166666667</v>
      </c>
      <c r="F133" s="1"/>
    </row>
    <row r="134" spans="1:6">
      <c r="A134" s="4">
        <v>18006036</v>
      </c>
      <c r="B134" s="3" t="s">
        <v>250</v>
      </c>
      <c r="C134" s="76" t="s">
        <v>332</v>
      </c>
      <c r="D134" s="16">
        <v>113368.47583333333</v>
      </c>
      <c r="F134" s="1"/>
    </row>
    <row r="135" spans="1:6">
      <c r="A135" s="74">
        <v>18006100</v>
      </c>
      <c r="B135" s="75" t="s">
        <v>251</v>
      </c>
      <c r="C135" s="76" t="s">
        <v>332</v>
      </c>
      <c r="D135" s="2">
        <v>113368.47583333333</v>
      </c>
      <c r="F135" s="1"/>
    </row>
    <row r="136" spans="1:6">
      <c r="A136" s="4">
        <v>18005590</v>
      </c>
      <c r="B136" s="3" t="s">
        <v>252</v>
      </c>
      <c r="C136" s="76" t="s">
        <v>332</v>
      </c>
      <c r="D136" s="2">
        <v>111693.08333333333</v>
      </c>
      <c r="F136" s="1"/>
    </row>
    <row r="137" spans="1:6">
      <c r="A137" s="4">
        <v>18007360</v>
      </c>
      <c r="B137" s="3" t="s">
        <v>253</v>
      </c>
      <c r="C137" s="76" t="s">
        <v>332</v>
      </c>
      <c r="D137" s="2">
        <v>113368.47583333333</v>
      </c>
      <c r="F137" s="1"/>
    </row>
    <row r="138" spans="1:6">
      <c r="A138" s="4">
        <v>18007366</v>
      </c>
      <c r="B138" s="3" t="s">
        <v>254</v>
      </c>
      <c r="C138" s="76" t="s">
        <v>332</v>
      </c>
      <c r="D138" s="16">
        <v>113926.94166666667</v>
      </c>
      <c r="F138" s="1"/>
    </row>
    <row r="139" spans="1:6">
      <c r="A139" s="4">
        <v>18004138</v>
      </c>
      <c r="B139" s="3" t="s">
        <v>255</v>
      </c>
      <c r="C139" s="76" t="s">
        <v>332</v>
      </c>
      <c r="D139" s="2">
        <v>132859.45083333334</v>
      </c>
      <c r="F139" s="1"/>
    </row>
    <row r="140" spans="1:6">
      <c r="A140" s="4">
        <v>18006035</v>
      </c>
      <c r="B140" s="3" t="s">
        <v>256</v>
      </c>
      <c r="C140" s="76" t="s">
        <v>332</v>
      </c>
      <c r="D140" s="2">
        <v>113926.94166666667</v>
      </c>
      <c r="F140" s="1"/>
    </row>
    <row r="141" spans="1:6">
      <c r="A141" s="4">
        <v>18004306</v>
      </c>
      <c r="B141" s="3" t="s">
        <v>257</v>
      </c>
      <c r="C141" s="76" t="s">
        <v>332</v>
      </c>
      <c r="D141" s="2">
        <v>111693.08333333333</v>
      </c>
      <c r="F141" s="1"/>
    </row>
    <row r="142" spans="1:6">
      <c r="A142" s="4">
        <v>18007367</v>
      </c>
      <c r="B142" s="3" t="s">
        <v>258</v>
      </c>
      <c r="C142" s="76" t="s">
        <v>332</v>
      </c>
      <c r="D142" s="2">
        <v>113368.47583333333</v>
      </c>
      <c r="F142" s="1"/>
    </row>
    <row r="143" spans="1:6">
      <c r="A143" s="4">
        <v>18007364</v>
      </c>
      <c r="B143" s="3" t="s">
        <v>259</v>
      </c>
      <c r="C143" s="76" t="s">
        <v>332</v>
      </c>
      <c r="D143" s="2">
        <v>113368.47583333333</v>
      </c>
      <c r="F143" s="1"/>
    </row>
    <row r="144" spans="1:6">
      <c r="A144" s="4">
        <v>18007370</v>
      </c>
      <c r="B144" s="3" t="s">
        <v>260</v>
      </c>
      <c r="C144" s="76" t="s">
        <v>332</v>
      </c>
      <c r="D144" s="2">
        <v>113926.94166666667</v>
      </c>
      <c r="F144" s="1"/>
    </row>
    <row r="145" spans="1:6">
      <c r="A145" s="4">
        <v>18007362</v>
      </c>
      <c r="B145" s="3" t="s">
        <v>261</v>
      </c>
      <c r="C145" s="76" t="s">
        <v>332</v>
      </c>
      <c r="D145" s="2">
        <v>113368.47583333333</v>
      </c>
      <c r="F145" s="1"/>
    </row>
    <row r="146" spans="1:6">
      <c r="A146" s="4">
        <v>18004278</v>
      </c>
      <c r="B146" s="3" t="s">
        <v>262</v>
      </c>
      <c r="C146" s="76" t="s">
        <v>332</v>
      </c>
      <c r="D146" s="2">
        <v>113368.47583333333</v>
      </c>
      <c r="F146" s="1"/>
    </row>
    <row r="147" spans="1:6">
      <c r="A147" s="4">
        <v>18007355</v>
      </c>
      <c r="B147" s="3" t="s">
        <v>263</v>
      </c>
      <c r="C147" s="76" t="s">
        <v>332</v>
      </c>
      <c r="D147" s="2">
        <v>113368.47583333333</v>
      </c>
      <c r="F147" s="1"/>
    </row>
    <row r="148" spans="1:6">
      <c r="A148" s="4">
        <v>18007354</v>
      </c>
      <c r="B148" s="3" t="s">
        <v>264</v>
      </c>
      <c r="C148" s="76" t="s">
        <v>332</v>
      </c>
      <c r="D148" s="2">
        <v>111693.08333333333</v>
      </c>
      <c r="F148" s="1"/>
    </row>
    <row r="149" spans="1:6">
      <c r="A149" s="4">
        <v>18007361</v>
      </c>
      <c r="B149" s="3" t="s">
        <v>265</v>
      </c>
      <c r="C149" s="76" t="s">
        <v>332</v>
      </c>
      <c r="D149" s="2">
        <v>113926.94166666667</v>
      </c>
      <c r="F149" s="1"/>
    </row>
    <row r="150" spans="1:6">
      <c r="A150" s="74">
        <v>18007372</v>
      </c>
      <c r="B150" s="75" t="s">
        <v>266</v>
      </c>
      <c r="C150" s="76" t="s">
        <v>332</v>
      </c>
      <c r="D150" s="78">
        <v>113926.94166666667</v>
      </c>
      <c r="F150" s="1"/>
    </row>
    <row r="151" spans="1:6">
      <c r="A151" s="4">
        <v>18006109</v>
      </c>
      <c r="B151" s="3" t="s">
        <v>30</v>
      </c>
      <c r="C151" s="76" t="s">
        <v>332</v>
      </c>
      <c r="D151" s="2">
        <v>113368.47583333333</v>
      </c>
      <c r="F151" s="1"/>
    </row>
    <row r="152" spans="1:6">
      <c r="A152" s="4">
        <v>18007358</v>
      </c>
      <c r="B152" s="3" t="s">
        <v>267</v>
      </c>
      <c r="C152" s="76" t="s">
        <v>332</v>
      </c>
      <c r="D152" s="2">
        <v>113368.47583333333</v>
      </c>
      <c r="F152" s="1"/>
    </row>
    <row r="153" spans="1:6">
      <c r="A153" s="4">
        <v>18007369</v>
      </c>
      <c r="B153" s="3" t="s">
        <v>268</v>
      </c>
      <c r="C153" s="76" t="s">
        <v>332</v>
      </c>
      <c r="D153" s="2">
        <v>113368.47583333333</v>
      </c>
      <c r="F153" s="1"/>
    </row>
    <row r="154" spans="1:6">
      <c r="A154" s="4">
        <v>18007371</v>
      </c>
      <c r="B154" s="3" t="s">
        <v>269</v>
      </c>
      <c r="C154" s="76" t="s">
        <v>332</v>
      </c>
      <c r="D154" s="2">
        <v>113368.47583333333</v>
      </c>
      <c r="F154" s="1"/>
    </row>
    <row r="155" spans="1:6">
      <c r="A155" s="4">
        <v>18006034</v>
      </c>
      <c r="B155" s="3" t="s">
        <v>31</v>
      </c>
      <c r="C155" s="76" t="s">
        <v>332</v>
      </c>
      <c r="D155" s="2">
        <v>113368.47583333333</v>
      </c>
      <c r="F155" s="1"/>
    </row>
    <row r="156" spans="1:6">
      <c r="A156" s="4">
        <v>18004309</v>
      </c>
      <c r="B156" s="3" t="s">
        <v>32</v>
      </c>
      <c r="C156" s="76" t="s">
        <v>332</v>
      </c>
      <c r="D156" s="2">
        <v>113368.47583333333</v>
      </c>
      <c r="F156" s="1"/>
    </row>
    <row r="157" spans="1:6">
      <c r="A157" s="4">
        <v>18005584</v>
      </c>
      <c r="B157" s="3" t="s">
        <v>33</v>
      </c>
      <c r="C157" s="76" t="s">
        <v>332</v>
      </c>
      <c r="D157" s="2">
        <v>113926.94166666667</v>
      </c>
      <c r="F157" s="1"/>
    </row>
    <row r="158" spans="1:6">
      <c r="A158" s="4">
        <v>18006038</v>
      </c>
      <c r="B158" s="3" t="s">
        <v>270</v>
      </c>
      <c r="C158" s="76" t="s">
        <v>332</v>
      </c>
      <c r="D158" s="2">
        <v>113368.47583333333</v>
      </c>
      <c r="F158" s="1"/>
    </row>
    <row r="159" spans="1:6">
      <c r="A159" s="4">
        <v>18004503</v>
      </c>
      <c r="B159" s="3" t="s">
        <v>34</v>
      </c>
      <c r="C159" s="76" t="s">
        <v>332</v>
      </c>
      <c r="D159" s="2">
        <v>113368.47583333333</v>
      </c>
      <c r="F159" s="1"/>
    </row>
    <row r="160" spans="1:6">
      <c r="A160" s="87">
        <v>18004089</v>
      </c>
      <c r="B160" s="88" t="s">
        <v>271</v>
      </c>
      <c r="C160" s="89" t="s">
        <v>333</v>
      </c>
      <c r="D160" s="90">
        <v>319134.73416666669</v>
      </c>
      <c r="F160" s="1"/>
    </row>
    <row r="161" spans="1:6">
      <c r="A161" s="87">
        <v>18004170</v>
      </c>
      <c r="B161" s="88" t="s">
        <v>26</v>
      </c>
      <c r="C161" s="89" t="s">
        <v>333</v>
      </c>
      <c r="D161" s="90">
        <v>227908.82083333333</v>
      </c>
      <c r="F161" s="1"/>
    </row>
    <row r="162" spans="1:6">
      <c r="A162" s="87">
        <v>18004198</v>
      </c>
      <c r="B162" s="88" t="s">
        <v>27</v>
      </c>
      <c r="C162" s="89" t="s">
        <v>333</v>
      </c>
      <c r="D162" s="90">
        <v>320994.90750000003</v>
      </c>
      <c r="F162" s="1"/>
    </row>
    <row r="163" spans="1:6">
      <c r="A163" s="87">
        <v>18004225</v>
      </c>
      <c r="B163" s="88" t="s">
        <v>117</v>
      </c>
      <c r="C163" s="89" t="s">
        <v>333</v>
      </c>
      <c r="D163" s="90">
        <v>240438.44750000001</v>
      </c>
      <c r="F163" s="1"/>
    </row>
    <row r="164" spans="1:6">
      <c r="A164" s="87">
        <v>18004234</v>
      </c>
      <c r="B164" s="88" t="s">
        <v>118</v>
      </c>
      <c r="C164" s="89" t="s">
        <v>333</v>
      </c>
      <c r="D164" s="90">
        <v>195870.4675</v>
      </c>
      <c r="F164" s="1"/>
    </row>
    <row r="165" spans="1:6">
      <c r="A165" s="17">
        <v>18006057</v>
      </c>
      <c r="B165" s="18" t="s">
        <v>272</v>
      </c>
      <c r="C165" s="89" t="s">
        <v>333</v>
      </c>
      <c r="D165" s="19">
        <v>94888.07666666666</v>
      </c>
      <c r="F165" s="1"/>
    </row>
    <row r="166" spans="1:6">
      <c r="A166" s="87">
        <v>18004345</v>
      </c>
      <c r="B166" s="88" t="s">
        <v>119</v>
      </c>
      <c r="C166" s="89" t="s">
        <v>333</v>
      </c>
      <c r="D166" s="90">
        <v>299588.78666666668</v>
      </c>
      <c r="F166" s="1"/>
    </row>
    <row r="167" spans="1:6">
      <c r="A167" s="87">
        <v>18004372</v>
      </c>
      <c r="B167" s="88" t="s">
        <v>273</v>
      </c>
      <c r="C167" s="89" t="s">
        <v>333</v>
      </c>
      <c r="D167" s="90">
        <v>258221.90333333332</v>
      </c>
      <c r="F167" s="1"/>
    </row>
    <row r="168" spans="1:6">
      <c r="A168" s="87">
        <v>18004475</v>
      </c>
      <c r="B168" s="88" t="s">
        <v>28</v>
      </c>
      <c r="C168" s="89" t="s">
        <v>333</v>
      </c>
      <c r="D168" s="90">
        <v>216121.01666666669</v>
      </c>
      <c r="F168" s="1"/>
    </row>
    <row r="169" spans="1:6">
      <c r="A169" s="87">
        <v>18004597</v>
      </c>
      <c r="B169" s="88" t="s">
        <v>274</v>
      </c>
      <c r="C169" s="89" t="s">
        <v>333</v>
      </c>
      <c r="D169" s="90">
        <v>230121.57166666666</v>
      </c>
      <c r="F169" s="1"/>
    </row>
    <row r="170" spans="1:6">
      <c r="A170" s="87">
        <v>18004283</v>
      </c>
      <c r="B170" s="88" t="s">
        <v>29</v>
      </c>
      <c r="C170" s="89" t="s">
        <v>333</v>
      </c>
      <c r="D170" s="90">
        <v>325311.03250000003</v>
      </c>
      <c r="F170" s="1"/>
    </row>
    <row r="171" spans="1:6">
      <c r="A171" s="87">
        <v>18005505</v>
      </c>
      <c r="B171" s="88" t="s">
        <v>120</v>
      </c>
      <c r="C171" s="89" t="s">
        <v>334</v>
      </c>
      <c r="D171" s="91">
        <v>101810.57</v>
      </c>
      <c r="F171" s="1"/>
    </row>
    <row r="172" spans="1:6">
      <c r="A172" s="87">
        <v>18007018</v>
      </c>
      <c r="B172" s="88" t="s">
        <v>275</v>
      </c>
      <c r="C172" s="89" t="s">
        <v>334</v>
      </c>
      <c r="D172" s="91">
        <v>102031.63666666666</v>
      </c>
      <c r="F172" s="1"/>
    </row>
    <row r="173" spans="1:6">
      <c r="A173" s="87">
        <v>18007475</v>
      </c>
      <c r="B173" s="88" t="s">
        <v>121</v>
      </c>
      <c r="C173" s="89" t="s">
        <v>122</v>
      </c>
      <c r="D173" s="91">
        <v>64664.420000000006</v>
      </c>
      <c r="F173" s="1"/>
    </row>
    <row r="174" spans="1:6">
      <c r="A174" s="87">
        <v>18004264</v>
      </c>
      <c r="B174" s="88" t="s">
        <v>276</v>
      </c>
      <c r="C174" s="89" t="s">
        <v>333</v>
      </c>
      <c r="D174" s="91">
        <v>140883.70499999999</v>
      </c>
      <c r="F174" s="1"/>
    </row>
    <row r="175" spans="1:6">
      <c r="A175" s="87">
        <v>18004273</v>
      </c>
      <c r="B175" s="88" t="s">
        <v>277</v>
      </c>
      <c r="C175" s="89" t="s">
        <v>335</v>
      </c>
      <c r="D175" s="91">
        <v>121914.37</v>
      </c>
      <c r="F175" s="1"/>
    </row>
    <row r="176" spans="1:6">
      <c r="A176" s="87">
        <v>18004196</v>
      </c>
      <c r="B176" s="88" t="s">
        <v>278</v>
      </c>
      <c r="C176" s="89" t="s">
        <v>336</v>
      </c>
      <c r="D176" s="90">
        <v>176947.90333333332</v>
      </c>
      <c r="F176" s="1"/>
    </row>
    <row r="177" spans="1:6">
      <c r="A177" s="87">
        <v>18005743</v>
      </c>
      <c r="B177" s="88" t="s">
        <v>281</v>
      </c>
      <c r="C177" s="89" t="s">
        <v>336</v>
      </c>
      <c r="D177" s="91">
        <v>120004.53583333333</v>
      </c>
      <c r="F177" s="1"/>
    </row>
    <row r="178" spans="1:6">
      <c r="A178" s="87">
        <v>18004636</v>
      </c>
      <c r="B178" s="88" t="s">
        <v>282</v>
      </c>
      <c r="C178" s="89" t="s">
        <v>337</v>
      </c>
      <c r="D178" s="91">
        <v>153609.11166666666</v>
      </c>
      <c r="F178" s="1"/>
    </row>
    <row r="179" spans="1:6">
      <c r="A179" s="87">
        <v>18005155</v>
      </c>
      <c r="B179" s="88" t="s">
        <v>283</v>
      </c>
      <c r="C179" s="89" t="s">
        <v>337</v>
      </c>
      <c r="D179" s="91">
        <v>140375.81</v>
      </c>
      <c r="F179" s="1"/>
    </row>
    <row r="180" spans="1:6">
      <c r="A180" s="87">
        <v>18004325</v>
      </c>
      <c r="B180" s="88" t="s">
        <v>284</v>
      </c>
      <c r="C180" s="89" t="s">
        <v>337</v>
      </c>
      <c r="D180" s="90">
        <v>160396.56916666668</v>
      </c>
      <c r="F180" s="1"/>
    </row>
    <row r="181" spans="1:6">
      <c r="A181" s="87">
        <v>18004185</v>
      </c>
      <c r="B181" s="88" t="s">
        <v>285</v>
      </c>
      <c r="C181" s="89" t="s">
        <v>337</v>
      </c>
      <c r="D181" s="90" t="e">
        <v>#N/A</v>
      </c>
      <c r="F181" s="1"/>
    </row>
    <row r="182" spans="1:6">
      <c r="A182" s="87">
        <v>18004493</v>
      </c>
      <c r="B182" s="88" t="s">
        <v>286</v>
      </c>
      <c r="C182" s="89" t="s">
        <v>337</v>
      </c>
      <c r="D182" s="90">
        <v>281033.0575</v>
      </c>
      <c r="F182" s="1"/>
    </row>
    <row r="183" spans="1:6">
      <c r="A183" s="87">
        <v>18006983</v>
      </c>
      <c r="B183" s="88" t="s">
        <v>287</v>
      </c>
      <c r="C183" s="89" t="s">
        <v>337</v>
      </c>
      <c r="D183" s="90">
        <v>87094.125</v>
      </c>
      <c r="F183" s="1"/>
    </row>
    <row r="184" spans="1:6">
      <c r="A184" s="87">
        <v>18004874</v>
      </c>
      <c r="B184" s="88" t="s">
        <v>288</v>
      </c>
      <c r="C184" s="89" t="s">
        <v>337</v>
      </c>
      <c r="D184" s="91">
        <v>150387.495</v>
      </c>
      <c r="F184" s="1"/>
    </row>
    <row r="185" spans="1:6">
      <c r="A185" s="87">
        <v>18004098</v>
      </c>
      <c r="B185" s="88" t="s">
        <v>11</v>
      </c>
      <c r="C185" s="89" t="s">
        <v>10</v>
      </c>
      <c r="D185" s="91">
        <v>142973.70916666667</v>
      </c>
      <c r="F185" s="1"/>
    </row>
    <row r="186" spans="1:6">
      <c r="A186" s="17">
        <v>18005490</v>
      </c>
      <c r="B186" s="18" t="s">
        <v>12</v>
      </c>
      <c r="C186" s="89" t="s">
        <v>10</v>
      </c>
      <c r="D186" s="90">
        <v>99814.28833333333</v>
      </c>
      <c r="F186" s="1"/>
    </row>
    <row r="187" spans="1:6">
      <c r="A187" s="87">
        <v>18007252</v>
      </c>
      <c r="B187" s="88" t="s">
        <v>289</v>
      </c>
      <c r="C187" s="89" t="s">
        <v>10</v>
      </c>
      <c r="D187" s="90">
        <v>150017.01</v>
      </c>
      <c r="F187" s="1"/>
    </row>
    <row r="188" spans="1:6">
      <c r="A188" s="87">
        <v>18006053</v>
      </c>
      <c r="B188" s="88" t="s">
        <v>13</v>
      </c>
      <c r="C188" s="89" t="s">
        <v>10</v>
      </c>
      <c r="D188" s="90">
        <v>107704.58333333333</v>
      </c>
      <c r="F188" s="1"/>
    </row>
    <row r="189" spans="1:6">
      <c r="A189" s="87">
        <v>18004365</v>
      </c>
      <c r="B189" s="88" t="s">
        <v>14</v>
      </c>
      <c r="C189" s="89" t="s">
        <v>10</v>
      </c>
      <c r="D189" s="91">
        <v>127190.5125</v>
      </c>
      <c r="F189" s="1"/>
    </row>
    <row r="190" spans="1:6">
      <c r="A190" s="87">
        <v>18004376</v>
      </c>
      <c r="B190" s="88" t="s">
        <v>15</v>
      </c>
      <c r="C190" s="89" t="s">
        <v>10</v>
      </c>
      <c r="D190" s="90">
        <v>227233.82083333333</v>
      </c>
      <c r="F190" s="1"/>
    </row>
    <row r="191" spans="1:6">
      <c r="A191" s="87">
        <v>18004446</v>
      </c>
      <c r="B191" s="88" t="s">
        <v>16</v>
      </c>
      <c r="C191" s="89" t="s">
        <v>10</v>
      </c>
      <c r="D191" s="90">
        <v>157394.30416666667</v>
      </c>
      <c r="F191" s="1"/>
    </row>
    <row r="192" spans="1:6">
      <c r="A192" s="87">
        <v>18007962</v>
      </c>
      <c r="B192" s="88" t="s">
        <v>290</v>
      </c>
      <c r="C192" s="89" t="s">
        <v>10</v>
      </c>
      <c r="D192" s="90">
        <v>92213.592500000013</v>
      </c>
      <c r="F192" s="1"/>
    </row>
    <row r="193" spans="1:6">
      <c r="A193" s="87">
        <v>18004573</v>
      </c>
      <c r="B193" s="88" t="s">
        <v>17</v>
      </c>
      <c r="C193" s="89" t="s">
        <v>10</v>
      </c>
      <c r="D193" s="91">
        <v>121341.93083333333</v>
      </c>
      <c r="F193" s="1"/>
    </row>
    <row r="194" spans="1:6">
      <c r="A194" s="87">
        <v>18004228</v>
      </c>
      <c r="B194" s="88" t="s">
        <v>18</v>
      </c>
      <c r="C194" s="89" t="s">
        <v>19</v>
      </c>
      <c r="D194" s="90">
        <v>155802.58083333334</v>
      </c>
      <c r="F194" s="1"/>
    </row>
    <row r="195" spans="1:6">
      <c r="A195" s="87">
        <v>18004644</v>
      </c>
      <c r="B195" s="88" t="s">
        <v>20</v>
      </c>
      <c r="C195" s="89" t="s">
        <v>19</v>
      </c>
      <c r="D195" s="90">
        <v>234110.43000000002</v>
      </c>
      <c r="F195" s="1"/>
    </row>
    <row r="196" spans="1:6">
      <c r="A196" s="92">
        <v>18004568</v>
      </c>
      <c r="B196" s="93" t="s">
        <v>44</v>
      </c>
      <c r="C196" s="94" t="s">
        <v>331</v>
      </c>
      <c r="D196" s="94">
        <v>160679.595</v>
      </c>
      <c r="F196" s="1"/>
    </row>
    <row r="197" spans="1:6">
      <c r="A197" s="92">
        <v>18003911</v>
      </c>
      <c r="B197" s="93" t="s">
        <v>291</v>
      </c>
      <c r="C197" s="94" t="s">
        <v>331</v>
      </c>
      <c r="D197" s="94">
        <v>137174.22500000001</v>
      </c>
      <c r="F197" s="1"/>
    </row>
    <row r="198" spans="1:6">
      <c r="A198" s="92">
        <v>18004113</v>
      </c>
      <c r="B198" s="93" t="s">
        <v>46</v>
      </c>
      <c r="C198" s="95" t="s">
        <v>331</v>
      </c>
      <c r="D198" s="95">
        <v>119191.27750000001</v>
      </c>
      <c r="F198" s="1"/>
    </row>
    <row r="199" spans="1:6">
      <c r="A199" s="92">
        <v>18004337</v>
      </c>
      <c r="B199" s="93" t="s">
        <v>39</v>
      </c>
      <c r="C199" s="94" t="s">
        <v>331</v>
      </c>
      <c r="D199" s="94">
        <v>118631.61666666665</v>
      </c>
      <c r="F199" s="1"/>
    </row>
    <row r="200" spans="1:6">
      <c r="A200" s="92">
        <v>18006748</v>
      </c>
      <c r="B200" s="93" t="s">
        <v>38</v>
      </c>
      <c r="C200" s="95" t="s">
        <v>331</v>
      </c>
      <c r="D200" s="95">
        <v>115898.29583333334</v>
      </c>
      <c r="F200" s="1"/>
    </row>
    <row r="201" spans="1:6">
      <c r="A201" s="92">
        <v>18004145</v>
      </c>
      <c r="B201" s="93" t="s">
        <v>37</v>
      </c>
      <c r="C201" s="95" t="s">
        <v>331</v>
      </c>
      <c r="D201" s="95">
        <v>97547.965833333335</v>
      </c>
      <c r="F201" s="1"/>
    </row>
    <row r="202" spans="1:6">
      <c r="A202" s="92">
        <v>18006066</v>
      </c>
      <c r="B202" s="93" t="s">
        <v>45</v>
      </c>
      <c r="C202" s="94" t="s">
        <v>331</v>
      </c>
      <c r="D202" s="94">
        <v>59794.166666666664</v>
      </c>
      <c r="F202" s="1"/>
    </row>
    <row r="203" spans="1:6">
      <c r="A203" s="92">
        <v>18006552</v>
      </c>
      <c r="B203" s="93" t="s">
        <v>35</v>
      </c>
      <c r="C203" s="94" t="s">
        <v>331</v>
      </c>
      <c r="D203" s="94">
        <v>113248.13166666667</v>
      </c>
      <c r="F203" s="1"/>
    </row>
    <row r="204" spans="1:6">
      <c r="A204" s="92">
        <v>18006750</v>
      </c>
      <c r="B204" s="93" t="s">
        <v>36</v>
      </c>
      <c r="C204" s="94" t="s">
        <v>331</v>
      </c>
      <c r="D204" s="94">
        <v>115330.16666666667</v>
      </c>
      <c r="F204" s="1"/>
    </row>
    <row r="205" spans="1:6">
      <c r="A205" s="92">
        <v>18006553</v>
      </c>
      <c r="B205" s="93" t="s">
        <v>292</v>
      </c>
      <c r="C205" s="95" t="s">
        <v>331</v>
      </c>
      <c r="D205" s="95">
        <v>113481.85166666667</v>
      </c>
      <c r="F205" s="1"/>
    </row>
    <row r="206" spans="1:6">
      <c r="A206" s="92">
        <v>18006765</v>
      </c>
      <c r="B206" s="93" t="s">
        <v>41</v>
      </c>
      <c r="C206" s="94" t="s">
        <v>331</v>
      </c>
      <c r="D206" s="94">
        <v>115330.16666666667</v>
      </c>
      <c r="F206" s="1"/>
    </row>
    <row r="207" spans="1:6">
      <c r="A207" s="92">
        <v>18004462</v>
      </c>
      <c r="B207" s="93" t="s">
        <v>293</v>
      </c>
      <c r="C207" s="94" t="s">
        <v>331</v>
      </c>
      <c r="D207" s="94">
        <v>116958.50083333334</v>
      </c>
      <c r="F207" s="1"/>
    </row>
    <row r="208" spans="1:6">
      <c r="A208" s="92">
        <v>18004547</v>
      </c>
      <c r="B208" s="93" t="s">
        <v>294</v>
      </c>
      <c r="C208" s="95" t="s">
        <v>331</v>
      </c>
      <c r="D208" s="95">
        <v>117643.23</v>
      </c>
      <c r="F208" s="1"/>
    </row>
    <row r="209" spans="1:6">
      <c r="A209" s="92">
        <v>18006560</v>
      </c>
      <c r="B209" s="93" t="s">
        <v>295</v>
      </c>
      <c r="C209" s="95" t="s">
        <v>331</v>
      </c>
      <c r="D209" s="95">
        <v>117182.47083333333</v>
      </c>
      <c r="F209" s="1"/>
    </row>
    <row r="210" spans="1:6">
      <c r="A210" s="92">
        <v>18004116</v>
      </c>
      <c r="B210" s="93" t="s">
        <v>296</v>
      </c>
      <c r="C210" s="95" t="s">
        <v>331</v>
      </c>
      <c r="D210" s="95">
        <v>113368.47583333333</v>
      </c>
      <c r="F210" s="1"/>
    </row>
    <row r="211" spans="1:6">
      <c r="A211" s="92">
        <v>18004354</v>
      </c>
      <c r="B211" s="93" t="s">
        <v>297</v>
      </c>
      <c r="C211" s="95" t="s">
        <v>331</v>
      </c>
      <c r="D211" s="95">
        <v>123141.13166666667</v>
      </c>
      <c r="F211" s="1"/>
    </row>
    <row r="212" spans="1:6">
      <c r="A212" s="92">
        <v>18004255</v>
      </c>
      <c r="B212" s="93" t="s">
        <v>298</v>
      </c>
      <c r="C212" s="95" t="s">
        <v>331</v>
      </c>
      <c r="D212" s="95">
        <v>113368.47583333333</v>
      </c>
      <c r="F212" s="1"/>
    </row>
    <row r="213" spans="1:6">
      <c r="A213" s="92">
        <v>18006942</v>
      </c>
      <c r="B213" s="93" t="s">
        <v>299</v>
      </c>
      <c r="C213" s="94" t="s">
        <v>331</v>
      </c>
      <c r="D213" s="94">
        <v>96108.472499999989</v>
      </c>
      <c r="F213" s="1"/>
    </row>
    <row r="214" spans="1:6">
      <c r="A214" s="92">
        <v>18006764</v>
      </c>
      <c r="B214" s="93" t="s">
        <v>110</v>
      </c>
      <c r="C214" s="94" t="s">
        <v>331</v>
      </c>
      <c r="D214" s="94">
        <v>115330.16666666667</v>
      </c>
      <c r="F214" s="1"/>
    </row>
    <row r="215" spans="1:6">
      <c r="A215" s="92">
        <v>18006762</v>
      </c>
      <c r="B215" s="93" t="s">
        <v>300</v>
      </c>
      <c r="C215" s="94" t="s">
        <v>331</v>
      </c>
      <c r="D215" s="94">
        <v>115330.16666666667</v>
      </c>
      <c r="F215" s="1"/>
    </row>
    <row r="216" spans="1:6">
      <c r="A216" s="92">
        <v>18004151</v>
      </c>
      <c r="B216" s="93" t="s">
        <v>301</v>
      </c>
      <c r="C216" s="95" t="s">
        <v>331</v>
      </c>
      <c r="D216" s="95">
        <v>82306.898333333331</v>
      </c>
      <c r="F216" s="1"/>
    </row>
    <row r="217" spans="1:6">
      <c r="A217" s="92">
        <v>18005888</v>
      </c>
      <c r="B217" s="93" t="s">
        <v>113</v>
      </c>
      <c r="C217" s="95" t="s">
        <v>331</v>
      </c>
      <c r="D217" s="95">
        <v>113368.47583333333</v>
      </c>
      <c r="F217" s="1"/>
    </row>
    <row r="218" spans="1:6">
      <c r="A218" s="92">
        <v>18006037</v>
      </c>
      <c r="B218" s="93" t="s">
        <v>302</v>
      </c>
      <c r="C218" s="95" t="s">
        <v>331</v>
      </c>
      <c r="D218" s="95">
        <v>113368.47583333333</v>
      </c>
      <c r="F218" s="1"/>
    </row>
    <row r="219" spans="1:6">
      <c r="A219" s="92">
        <v>18004209</v>
      </c>
      <c r="B219" s="93" t="s">
        <v>303</v>
      </c>
      <c r="C219" s="94" t="s">
        <v>331</v>
      </c>
      <c r="D219" s="94">
        <v>118706.07666666666</v>
      </c>
      <c r="F219" s="1"/>
    </row>
    <row r="220" spans="1:6">
      <c r="A220" s="92">
        <v>18006749</v>
      </c>
      <c r="B220" s="93" t="s">
        <v>47</v>
      </c>
      <c r="C220" s="95" t="s">
        <v>331</v>
      </c>
      <c r="D220" s="95">
        <v>115330.16666666667</v>
      </c>
      <c r="F220" s="1"/>
    </row>
    <row r="221" spans="1:6">
      <c r="A221" s="92">
        <v>18004402</v>
      </c>
      <c r="B221" s="93" t="s">
        <v>112</v>
      </c>
      <c r="C221" s="95" t="s">
        <v>331</v>
      </c>
      <c r="D221" s="95">
        <v>113368.47583333333</v>
      </c>
      <c r="F221" s="1"/>
    </row>
    <row r="222" spans="1:6">
      <c r="A222" s="92">
        <v>18005891</v>
      </c>
      <c r="B222" s="93" t="s">
        <v>49</v>
      </c>
      <c r="C222" s="94" t="s">
        <v>48</v>
      </c>
      <c r="D222" s="94">
        <v>122036.34250000001</v>
      </c>
      <c r="F222" s="1"/>
    </row>
    <row r="223" spans="1:6">
      <c r="A223" s="92">
        <v>18006033</v>
      </c>
      <c r="B223" s="93" t="s">
        <v>50</v>
      </c>
      <c r="C223" s="95" t="s">
        <v>48</v>
      </c>
      <c r="D223" s="95">
        <v>119572.30499999999</v>
      </c>
      <c r="F223" s="1"/>
    </row>
    <row r="224" spans="1:6">
      <c r="A224" s="92">
        <v>18006101</v>
      </c>
      <c r="B224" s="93" t="s">
        <v>51</v>
      </c>
      <c r="C224" s="95" t="s">
        <v>48</v>
      </c>
      <c r="D224" s="95">
        <v>124304.90833333333</v>
      </c>
      <c r="F224" s="1"/>
    </row>
    <row r="225" spans="1:6">
      <c r="A225" s="92">
        <v>18006570</v>
      </c>
      <c r="B225" s="93" t="s">
        <v>52</v>
      </c>
      <c r="C225" s="95" t="s">
        <v>48</v>
      </c>
      <c r="D225" s="95">
        <v>111804.77666666667</v>
      </c>
      <c r="F225" s="1"/>
    </row>
    <row r="226" spans="1:6">
      <c r="A226" s="92">
        <v>18007416</v>
      </c>
      <c r="B226" s="93" t="s">
        <v>53</v>
      </c>
      <c r="C226" s="95" t="s">
        <v>48</v>
      </c>
      <c r="D226" s="95">
        <v>98050.33666666667</v>
      </c>
      <c r="F226" s="1"/>
    </row>
    <row r="227" spans="1:6">
      <c r="A227" s="92">
        <v>18007415</v>
      </c>
      <c r="B227" s="93" t="s">
        <v>54</v>
      </c>
      <c r="C227" s="95" t="s">
        <v>48</v>
      </c>
      <c r="D227" s="95">
        <v>95693.357499999998</v>
      </c>
      <c r="F227" s="1"/>
    </row>
    <row r="228" spans="1:6">
      <c r="A228" s="92">
        <v>18007417</v>
      </c>
      <c r="B228" s="93" t="s">
        <v>304</v>
      </c>
      <c r="C228" s="95" t="s">
        <v>48</v>
      </c>
      <c r="D228" s="95">
        <v>94279.166666666672</v>
      </c>
      <c r="F228" s="1"/>
    </row>
    <row r="229" spans="1:6">
      <c r="A229" s="1">
        <v>18008449</v>
      </c>
      <c r="B229" s="1" t="s">
        <v>339</v>
      </c>
      <c r="C229" s="1">
        <v>4</v>
      </c>
      <c r="D229" s="95">
        <v>89100</v>
      </c>
      <c r="F229" s="1"/>
    </row>
    <row r="230" spans="1:6">
      <c r="A230" s="1">
        <v>18008467</v>
      </c>
      <c r="B230" s="1" t="s">
        <v>325</v>
      </c>
      <c r="C230" s="1">
        <v>13</v>
      </c>
      <c r="D230" s="1">
        <v>82591.666666666672</v>
      </c>
      <c r="F230" s="1"/>
    </row>
    <row r="231" spans="1:6">
      <c r="A231" s="1">
        <v>18008452</v>
      </c>
      <c r="B231" s="1" t="s">
        <v>322</v>
      </c>
      <c r="C231" s="1">
        <v>11</v>
      </c>
      <c r="D231" s="1">
        <v>89100</v>
      </c>
      <c r="F231" s="1"/>
    </row>
    <row r="232" spans="1:6">
      <c r="A232" s="1">
        <v>18008448</v>
      </c>
      <c r="B232" s="1" t="s">
        <v>326</v>
      </c>
      <c r="C232" s="1" t="s">
        <v>22</v>
      </c>
      <c r="D232" s="1">
        <v>89100</v>
      </c>
      <c r="F232" s="1"/>
    </row>
    <row r="233" spans="1:6">
      <c r="A233" s="1">
        <v>18007740</v>
      </c>
      <c r="B233" s="1" t="s">
        <v>109</v>
      </c>
      <c r="C233" s="1" t="s">
        <v>19</v>
      </c>
      <c r="D233" s="1">
        <v>92213.592500000013</v>
      </c>
      <c r="F233" s="1"/>
    </row>
    <row r="234" spans="1:6">
      <c r="A234">
        <v>18008450</v>
      </c>
      <c r="B234" s="1" t="s">
        <v>324</v>
      </c>
      <c r="C234" s="1" t="s">
        <v>10</v>
      </c>
      <c r="D234" s="1">
        <v>89100</v>
      </c>
      <c r="F234" s="1"/>
    </row>
    <row r="235" spans="1:6">
      <c r="A235" s="1">
        <v>18008457</v>
      </c>
      <c r="B235" s="1" t="s">
        <v>320</v>
      </c>
      <c r="C235" s="1">
        <v>15</v>
      </c>
      <c r="D235" s="1">
        <v>82591.666666666672</v>
      </c>
      <c r="F235" s="1"/>
    </row>
    <row r="236" spans="1:6">
      <c r="A236" s="1">
        <v>18008466</v>
      </c>
      <c r="B236" s="1" t="s">
        <v>321</v>
      </c>
      <c r="C236" s="1">
        <v>15</v>
      </c>
      <c r="D236" s="1">
        <v>82591.666666666672</v>
      </c>
      <c r="F236" s="1"/>
    </row>
    <row r="237" spans="1:6">
      <c r="A237" s="1">
        <v>18008178</v>
      </c>
      <c r="B237" s="1" t="s">
        <v>115</v>
      </c>
      <c r="C237" s="1" t="s">
        <v>305</v>
      </c>
      <c r="D237">
        <v>92664</v>
      </c>
      <c r="F237" s="1"/>
    </row>
    <row r="238" spans="1:6">
      <c r="A238">
        <v>18008180</v>
      </c>
      <c r="B238" t="s">
        <v>116</v>
      </c>
      <c r="C238" t="s">
        <v>305</v>
      </c>
      <c r="D238">
        <v>92664</v>
      </c>
      <c r="F238" s="1"/>
    </row>
    <row r="239" spans="1:6">
      <c r="A239">
        <v>18008465</v>
      </c>
      <c r="B239" t="s">
        <v>316</v>
      </c>
      <c r="C239">
        <v>3</v>
      </c>
      <c r="D239" s="1">
        <v>82591.666666666672</v>
      </c>
      <c r="F239" s="1"/>
    </row>
    <row r="240" spans="1:6">
      <c r="A240" s="1">
        <v>18008451</v>
      </c>
      <c r="B240" s="1" t="s">
        <v>317</v>
      </c>
      <c r="C240" s="1">
        <v>3</v>
      </c>
      <c r="D240" s="1">
        <v>82591.666666666672</v>
      </c>
      <c r="F240" s="1"/>
    </row>
    <row r="241" spans="1:6">
      <c r="A241" s="1">
        <v>18008456</v>
      </c>
      <c r="B241" s="1" t="s">
        <v>318</v>
      </c>
      <c r="C241" s="1">
        <v>3</v>
      </c>
      <c r="D241" s="1">
        <v>82591.666666666672</v>
      </c>
      <c r="F241" s="1"/>
    </row>
    <row r="242" spans="1:6">
      <c r="A242">
        <v>18008453</v>
      </c>
      <c r="B242" t="s">
        <v>319</v>
      </c>
      <c r="C242">
        <v>3</v>
      </c>
      <c r="D242" s="1">
        <v>82591.666666666672</v>
      </c>
      <c r="F242" s="1"/>
    </row>
    <row r="243" spans="1:6">
      <c r="A243" s="20">
        <v>18008464</v>
      </c>
      <c r="B243" s="20" t="s">
        <v>344</v>
      </c>
      <c r="C243" s="1"/>
      <c r="D243" s="1">
        <v>89100</v>
      </c>
      <c r="F243" s="1"/>
    </row>
    <row r="244" spans="1:6">
      <c r="A244" s="1"/>
      <c r="B244" s="1"/>
      <c r="C244" s="1"/>
      <c r="D244" s="1"/>
      <c r="F244" s="1"/>
    </row>
    <row r="245" spans="1:6">
      <c r="A245" s="1"/>
      <c r="B245" s="1"/>
      <c r="C245" s="1"/>
      <c r="D245" s="1"/>
      <c r="F245" s="1"/>
    </row>
    <row r="246" spans="1:6">
      <c r="A246" s="1"/>
      <c r="B246" s="1"/>
      <c r="C246" s="1"/>
      <c r="D246" s="1"/>
    </row>
    <row r="247" spans="1:6">
      <c r="A247" s="1"/>
      <c r="B247" s="1"/>
      <c r="C247" s="1"/>
      <c r="D247" s="1"/>
    </row>
  </sheetData>
  <sheetProtection algorithmName="SHA-512" hashValue="orN6n3n8YXCO+X2yWkL3uh0dfPNZcHqugrqHHAPGbSXtJ2jKaQnSEZm5X+zlDnr6YwYiTiDmDi/1kBXyw52Nfw==" saltValue="Ds3GUh31lN2u/vCyE905EA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F29BBC-2F16-48F0-B39B-F8EBCC8F57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Line 3</vt:lpstr>
      <vt:lpstr>Conf</vt:lpstr>
      <vt:lpstr>LINE8_PH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Akeem Surajudeen</dc:creator>
  <cp:lastModifiedBy>Omobolaji Nubi</cp:lastModifiedBy>
  <cp:lastPrinted>2021-08-24T14:06:30Z</cp:lastPrinted>
  <dcterms:created xsi:type="dcterms:W3CDTF">2018-08-30T05:14:31Z</dcterms:created>
  <dcterms:modified xsi:type="dcterms:W3CDTF">2022-11-09T21:26:41Z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0x01010014A09ABBC25A9D4E987FD38C43F9663C</vt:lpwstr>
  </property>
</Properties>
</file>